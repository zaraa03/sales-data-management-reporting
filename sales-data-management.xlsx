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skill\excel\Freelance Data Entry\Sales Data Management &amp; Reporting\"/>
    </mc:Choice>
  </mc:AlternateContent>
  <xr:revisionPtr revIDLastSave="0" documentId="8_{4210875C-0462-438F-BD97-7784846C9B5B}" xr6:coauthVersionLast="47" xr6:coauthVersionMax="47" xr10:uidLastSave="{00000000-0000-0000-0000-000000000000}"/>
  <bookViews>
    <workbookView xWindow="-110" yWindow="-110" windowWidth="19420" windowHeight="10300" activeTab="3" xr2:uid="{C487EAA3-F588-43EA-8D40-079D42D90845}"/>
  </bookViews>
  <sheets>
    <sheet name="Raw Data" sheetId="1" r:id="rId1"/>
    <sheet name="Cleaned Data" sheetId="2" r:id="rId2"/>
    <sheet name="Pivot Summary" sheetId="3" r:id="rId3"/>
    <sheet name="Summary Report" sheetId="5" r:id="rId4"/>
  </sheets>
  <calcPr calcId="191029"/>
  <pivotCaches>
    <pivotCache cacheId="1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1" i="2" l="1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</calcChain>
</file>

<file path=xl/sharedStrings.xml><?xml version="1.0" encoding="utf-8"?>
<sst xmlns="http://schemas.openxmlformats.org/spreadsheetml/2006/main" count="507" uniqueCount="115">
  <si>
    <t>ORD001</t>
  </si>
  <si>
    <t>Amanda Putri</t>
  </si>
  <si>
    <t>Lavender Scented Candle</t>
  </si>
  <si>
    <t>Home Fragrance</t>
  </si>
  <si>
    <t>Jakarta</t>
  </si>
  <si>
    <t>Paid</t>
  </si>
  <si>
    <t>Completed</t>
  </si>
  <si>
    <t>ORD002</t>
  </si>
  <si>
    <t>Rina Maharani</t>
  </si>
  <si>
    <t>Ceramic Mug</t>
  </si>
  <si>
    <t>Kitchen</t>
  </si>
  <si>
    <t>Depok</t>
  </si>
  <si>
    <t>ORD003</t>
  </si>
  <si>
    <t>Dinda Safitri</t>
  </si>
  <si>
    <t>Decorative Cushion</t>
  </si>
  <si>
    <t>Home Decor</t>
  </si>
  <si>
    <t>Bandung</t>
  </si>
  <si>
    <t>ORD004</t>
  </si>
  <si>
    <t>Nadia Permata</t>
  </si>
  <si>
    <t>Linen Bedsheet</t>
  </si>
  <si>
    <t>Bedroom</t>
  </si>
  <si>
    <t>Bogor</t>
  </si>
  <si>
    <t>ORD005</t>
  </si>
  <si>
    <t>Salsa Amelia</t>
  </si>
  <si>
    <t>Reed Diffuser</t>
  </si>
  <si>
    <t>ORD006</t>
  </si>
  <si>
    <t>Farah Aulia</t>
  </si>
  <si>
    <t>Wooden Tray</t>
  </si>
  <si>
    <t>Bekasi</t>
  </si>
  <si>
    <t>Processing</t>
  </si>
  <si>
    <t>ORD007</t>
  </si>
  <si>
    <t>Anisa Rahma</t>
  </si>
  <si>
    <t>Wall Art</t>
  </si>
  <si>
    <t>ORD008</t>
  </si>
  <si>
    <t>Clara Wijaya</t>
  </si>
  <si>
    <t>ORD009</t>
  </si>
  <si>
    <t>Maya Sari</t>
  </si>
  <si>
    <t>ORD010</t>
  </si>
  <si>
    <t>Putri Amelia</t>
  </si>
  <si>
    <t>Unpaid</t>
  </si>
  <si>
    <t>Pending</t>
  </si>
  <si>
    <t>ORD011</t>
  </si>
  <si>
    <t>Alya Nurfadila</t>
  </si>
  <si>
    <t>ORD012</t>
  </si>
  <si>
    <t>Nabila Zahra</t>
  </si>
  <si>
    <t>ORD013</t>
  </si>
  <si>
    <t>Siti Aisyah</t>
  </si>
  <si>
    <t>ORD014</t>
  </si>
  <si>
    <t>Keisha Anindya</t>
  </si>
  <si>
    <t>ORD015</t>
  </si>
  <si>
    <t>Indah Permata</t>
  </si>
  <si>
    <t>ORD016</t>
  </si>
  <si>
    <t>Salma Khairunnisa</t>
  </si>
  <si>
    <t>ORD017</t>
  </si>
  <si>
    <t>Amelia Putri</t>
  </si>
  <si>
    <t>ORD018</t>
  </si>
  <si>
    <t>Hana Safira</t>
  </si>
  <si>
    <t>ORD019</t>
  </si>
  <si>
    <t>Naura Fadhilah</t>
  </si>
  <si>
    <t>ORD020</t>
  </si>
  <si>
    <t>Aurel Maharani</t>
  </si>
  <si>
    <t>ORD021</t>
  </si>
  <si>
    <t>Kayla Anindita</t>
  </si>
  <si>
    <t>ORD022</t>
  </si>
  <si>
    <t>Fitria Ningsih</t>
  </si>
  <si>
    <t>ORD023</t>
  </si>
  <si>
    <t>Shafa Nuraini</t>
  </si>
  <si>
    <t>ORD024</t>
  </si>
  <si>
    <t>Naomi Putri</t>
  </si>
  <si>
    <t>ORD025</t>
  </si>
  <si>
    <t>Almira Salsabila</t>
  </si>
  <si>
    <t>ORD026</t>
  </si>
  <si>
    <t>Zahra Amelia</t>
  </si>
  <si>
    <t>ORD027</t>
  </si>
  <si>
    <t>Annisa Putri</t>
  </si>
  <si>
    <t>ORD028</t>
  </si>
  <si>
    <t>Kiara Maharani</t>
  </si>
  <si>
    <t>ORD029</t>
  </si>
  <si>
    <t>Amanda Safitri</t>
  </si>
  <si>
    <t>ORD030</t>
  </si>
  <si>
    <t>Rania Azzahra</t>
  </si>
  <si>
    <t>Order ID</t>
  </si>
  <si>
    <t>Order Date</t>
  </si>
  <si>
    <t>Customer Name</t>
  </si>
  <si>
    <t>Product</t>
  </si>
  <si>
    <t>Category</t>
  </si>
  <si>
    <t>Region</t>
  </si>
  <si>
    <t>Quantity</t>
  </si>
  <si>
    <t>Unit Price</t>
  </si>
  <si>
    <t>Payment Status</t>
  </si>
  <si>
    <t>Order Status</t>
  </si>
  <si>
    <t>Total Sales</t>
  </si>
  <si>
    <t>Row Labels</t>
  </si>
  <si>
    <t>Grand Total</t>
  </si>
  <si>
    <t>Sum of Total Sales</t>
  </si>
  <si>
    <t>Sum of Quantity</t>
  </si>
  <si>
    <t>Count of Order ID</t>
  </si>
  <si>
    <t>SALES SUMMARY REPORT</t>
  </si>
  <si>
    <t>Lavender Living</t>
  </si>
  <si>
    <t>KEY PERFORMANCE INDICATORS</t>
  </si>
  <si>
    <t>TOTAL ORDERS</t>
  </si>
  <si>
    <t>TOTAL SALES</t>
  </si>
  <si>
    <t>COMPLETED</t>
  </si>
  <si>
    <t>PENDING</t>
  </si>
  <si>
    <t>September 2026</t>
  </si>
  <si>
    <t>Sales by Region</t>
  </si>
  <si>
    <t>Sales by Category</t>
  </si>
  <si>
    <t>KEY FINDINGS</t>
  </si>
  <si>
    <t>ADMIN FOLLOW-UP</t>
  </si>
  <si>
    <t>Follow up pending orders</t>
  </si>
  <si>
    <t>Check processing orders</t>
  </si>
  <si>
    <t>Home Fragrance generated the highest sales at Rp 2.150.000</t>
  </si>
  <si>
    <t>Jakarta had the highest regional sales at 1.820.000</t>
  </si>
  <si>
    <t>2 orders require follow-up due to pending status</t>
  </si>
  <si>
    <t>3 orders still processed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</si>
</sst>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p&quot;* #,##0.00_-;\-&quot;Rp&quot;* #,##0.00_-;_-&quot;Rp&quot;* &quot;-&quot;??_-;_-@_-"/>
    <numFmt numFmtId="171" formatCode="_-[$Rp-421]* #,##0_-;\-[$Rp-421]* #,##0_-;_-[$Rp-421]* &quot;-&quot;??_-;_-@_-"/>
    <numFmt numFmtId="173" formatCode="_-&quot;Rp&quot;* #,##0_-;\-&quot;Rp&quot;* #,##0_-;_-&quot;Rp&quot;* &quot;-&quot;??_-;_-@_-"/>
  </numFmts>
  <fonts count="6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171" fontId="2" fillId="0" borderId="0" xfId="0" applyNumberFormat="1" applyFont="1"/>
    <xf numFmtId="171" fontId="0" fillId="0" borderId="0" xfId="0" applyNumberFormat="1"/>
    <xf numFmtId="173" fontId="0" fillId="0" borderId="0" xfId="1" applyNumberFormat="1" applyFont="1"/>
    <xf numFmtId="0" fontId="2" fillId="0" borderId="0" xfId="0" pivotButton="1" applyFont="1"/>
    <xf numFmtId="0" fontId="2" fillId="0" borderId="0" xfId="0" applyFont="1" applyAlignment="1">
      <alignment horizontal="left"/>
    </xf>
    <xf numFmtId="173" fontId="2" fillId="0" borderId="0" xfId="0" applyNumberFormat="1" applyFont="1"/>
    <xf numFmtId="0" fontId="2" fillId="0" borderId="0" xfId="0" applyNumberFormat="1" applyFont="1"/>
    <xf numFmtId="49" fontId="2" fillId="0" borderId="0" xfId="0" applyNumberFormat="1" applyFont="1"/>
    <xf numFmtId="0" fontId="3" fillId="0" borderId="2" xfId="0" applyFont="1" applyBorder="1"/>
    <xf numFmtId="14" fontId="3" fillId="0" borderId="3" xfId="0" applyNumberFormat="1" applyFont="1" applyBorder="1"/>
    <xf numFmtId="0" fontId="3" fillId="0" borderId="3" xfId="0" applyFont="1" applyBorder="1"/>
    <xf numFmtId="171" fontId="3" fillId="0" borderId="3" xfId="0" applyNumberFormat="1" applyFont="1" applyBorder="1"/>
    <xf numFmtId="173" fontId="3" fillId="0" borderId="4" xfId="1" applyNumberFormat="1" applyFont="1" applyBorder="1"/>
    <xf numFmtId="0" fontId="2" fillId="0" borderId="5" xfId="0" applyFont="1" applyBorder="1"/>
    <xf numFmtId="14" fontId="2" fillId="0" borderId="1" xfId="0" applyNumberFormat="1" applyFont="1" applyBorder="1"/>
    <xf numFmtId="0" fontId="2" fillId="0" borderId="1" xfId="0" applyFont="1" applyBorder="1"/>
    <xf numFmtId="171" fontId="2" fillId="0" borderId="1" xfId="0" applyNumberFormat="1" applyFont="1" applyBorder="1"/>
    <xf numFmtId="173" fontId="2" fillId="0" borderId="6" xfId="1" applyNumberFormat="1" applyFont="1" applyBorder="1"/>
    <xf numFmtId="0" fontId="2" fillId="0" borderId="7" xfId="0" applyFont="1" applyBorder="1"/>
    <xf numFmtId="14" fontId="2" fillId="0" borderId="8" xfId="0" applyNumberFormat="1" applyFont="1" applyBorder="1"/>
    <xf numFmtId="0" fontId="2" fillId="0" borderId="8" xfId="0" applyFont="1" applyBorder="1"/>
    <xf numFmtId="171" fontId="2" fillId="0" borderId="8" xfId="0" applyNumberFormat="1" applyFont="1" applyBorder="1"/>
    <xf numFmtId="173" fontId="2" fillId="0" borderId="9" xfId="1" applyNumberFormat="1" applyFont="1" applyBorder="1"/>
  </cellXfs>
  <cellStyles count="2">
    <cellStyle name="Currency" xfId="1" builtinId="4"/>
    <cellStyle name="Normal" xfId="0" builtinId="0"/>
  </cellStyles>
  <dxfs count="42">
    <dxf>
      <numFmt numFmtId="173" formatCode="_-&quot;Rp&quot;* #,##0_-;\-&quot;Rp&quot;* #,##0_-;_-&quot;Rp&quot;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73" formatCode="_-&quot;Rp&quot;* #,##0_-;\-&quot;Rp&quot;* #,##0_-;_-&quot;Rp&quot;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71" formatCode="_-[$Rp-421]* #,##0_-;\-[$Rp-421]* #,##0_-;_-[$Rp-421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3" formatCode="_-&quot;Rp&quot;* #,##0_-;\-&quot;Rp&quot;* #,##0_-;_-&quot;Rp&quot;* &quot;-&quot;??_-;_-@_-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[sales-data-management.xlsx]Pivot Summary!PivotTable2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Sales by Category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Summary'!$B$1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Summary'!$A$2:$A$6</c:f>
              <c:strCache>
                <c:ptCount val="4"/>
                <c:pt idx="0">
                  <c:v>Bedroom</c:v>
                </c:pt>
                <c:pt idx="1">
                  <c:v>Home Decor</c:v>
                </c:pt>
                <c:pt idx="2">
                  <c:v>Home Fragrance</c:v>
                </c:pt>
                <c:pt idx="3">
                  <c:v>Kitchen</c:v>
                </c:pt>
              </c:strCache>
            </c:strRef>
          </c:cat>
          <c:val>
            <c:numRef>
              <c:f>'Pivot Summary'!$B$2:$B$6</c:f>
              <c:numCache>
                <c:formatCode>_-"Rp"* #,##0_-;\-"Rp"* #,##0_-;_-"Rp"* "-"??_-;_-@_-</c:formatCode>
                <c:ptCount val="4"/>
                <c:pt idx="0">
                  <c:v>1375000</c:v>
                </c:pt>
                <c:pt idx="1">
                  <c:v>1840000</c:v>
                </c:pt>
                <c:pt idx="2">
                  <c:v>2150000</c:v>
                </c:pt>
                <c:pt idx="3">
                  <c:v>1745000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0B-491E-A9F6-59504CC3D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116719"/>
        <c:axId val="1130655535"/>
      </c:barChart>
      <c:catAx>
        <c:axId val="1125116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30655535"/>
        <c:crosses val="autoZero"/>
        <c:auto val="1"/>
        <c:lblAlgn val="ctr"/>
        <c:lblOffset val="100"/>
        <c:noMultiLvlLbl val="0"/>
      </c:catAx>
      <c:valAx>
        <c:axId val="113065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p&quot;* #,##0_-;\-&quot;Rp&quot;* #,##0_-;_-&quot;Rp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25116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[sales-data-management.xlsx]Pivot Summary!PivotTable3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Sales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Summary'!$B$14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Summary'!$A$15:$A$20</c:f>
              <c:strCache>
                <c:ptCount val="5"/>
                <c:pt idx="0">
                  <c:v>Bandung</c:v>
                </c:pt>
                <c:pt idx="1">
                  <c:v>Bekasi</c:v>
                </c:pt>
                <c:pt idx="2">
                  <c:v>Bogor</c:v>
                </c:pt>
                <c:pt idx="3">
                  <c:v>Depok</c:v>
                </c:pt>
                <c:pt idx="4">
                  <c:v>Jakarta</c:v>
                </c:pt>
              </c:strCache>
            </c:strRef>
          </c:cat>
          <c:val>
            <c:numRef>
              <c:f>'Pivot Summary'!$B$15:$B$20</c:f>
              <c:numCache>
                <c:formatCode>_-"Rp"* #,##0_-;\-"Rp"* #,##0_-;_-"Rp"* "-"??_-;_-@_-</c:formatCode>
                <c:ptCount val="5"/>
                <c:pt idx="0">
                  <c:v>1530000</c:v>
                </c:pt>
                <c:pt idx="1">
                  <c:v>665000</c:v>
                </c:pt>
                <c:pt idx="2">
                  <c:v>1415000</c:v>
                </c:pt>
                <c:pt idx="3">
                  <c:v>1680000</c:v>
                </c:pt>
                <c:pt idx="4">
                  <c:v>1820000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E5-4FCD-86E3-EC29CDD55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0985839"/>
        <c:axId val="1130722735"/>
      </c:barChart>
      <c:catAx>
        <c:axId val="1130985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30722735"/>
        <c:crosses val="autoZero"/>
        <c:auto val="1"/>
        <c:lblAlgn val="ctr"/>
        <c:lblOffset val="100"/>
        <c:noMultiLvlLbl val="0"/>
      </c:catAx>
      <c:valAx>
        <c:axId val="1130722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p&quot;* #,##0_-;\-&quot;Rp&quot;* #,##0_-;_-&quot;Rp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30985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709705</xdr:colOff>
      <xdr:row>0</xdr:row>
      <xdr:rowOff>0</xdr:rowOff>
    </xdr:from>
    <xdr:to>
      <xdr:col>6</xdr:col>
      <xdr:colOff>29535</xdr:colOff>
      <xdr:row>10</xdr:row>
      <xdr:rowOff>112059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52B790-A014-E598-112B-B0A152FEF6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717525</xdr:colOff>
      <xdr:row>12</xdr:row>
      <xdr:rowOff>151583</xdr:rowOff>
    </xdr:from>
    <xdr:to>
      <xdr:col>6</xdr:col>
      <xdr:colOff>14768</xdr:colOff>
      <xdr:row>24</xdr:row>
      <xdr:rowOff>80643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7ACFFF-1E32-2A6C-875D-7FF53F2498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85.596837731478" createdVersion="8" refreshedVersion="8" minRefreshableVersion="3" recordCount="30" xr:uid="{EBB80222-625B-4638-BB61-D93E9F27BBA8}">
  <cacheSource type="worksheet">
    <worksheetSource name="Table2"/>
  </cacheSource>
  <cacheFields count="11">
    <cacheField name="Order ID" numFmtId="0">
      <sharedItems/>
    </cacheField>
    <cacheField name="Order Date" numFmtId="14">
      <sharedItems containsSemiMixedTypes="0" containsNonDate="0" containsDate="1" containsString="0" minDate="2026-09-01T00:00:00" maxDate="2026-09-16T00:00:00"/>
    </cacheField>
    <cacheField name="Customer Name" numFmtId="0">
      <sharedItems/>
    </cacheField>
    <cacheField name="Product" numFmtId="0">
      <sharedItems count="7">
        <s v="Lavender Scented Candle"/>
        <s v="Ceramic Mug"/>
        <s v="Decorative Cushion"/>
        <s v="Linen Bedsheet"/>
        <s v="Reed Diffuser"/>
        <s v="Wooden Tray"/>
        <s v="Wall Art"/>
      </sharedItems>
    </cacheField>
    <cacheField name="Category" numFmtId="0">
      <sharedItems count="4">
        <s v="Home Fragrance"/>
        <s v="Kitchen"/>
        <s v="Home Decor"/>
        <s v="Bedroom"/>
      </sharedItems>
    </cacheField>
    <cacheField name="Region" numFmtId="0">
      <sharedItems count="5">
        <s v="Jakarta"/>
        <s v="Depok"/>
        <s v="Bandung"/>
        <s v="Bogor"/>
        <s v="Bekasi"/>
      </sharedItems>
    </cacheField>
    <cacheField name="Quantity" numFmtId="0">
      <sharedItems containsSemiMixedTypes="0" containsString="0" containsNumber="1" containsInteger="1" minValue="1" maxValue="5"/>
    </cacheField>
    <cacheField name="Unit Price" numFmtId="171">
      <sharedItems containsSemiMixedTypes="0" containsString="0" containsNumber="1" containsInteger="1" minValue="55000" maxValue="275000"/>
    </cacheField>
    <cacheField name="Payment Status" numFmtId="0">
      <sharedItems/>
    </cacheField>
    <cacheField name="Order Status" numFmtId="0">
      <sharedItems count="3">
        <s v="Completed"/>
        <s v="Processing"/>
        <s v="Pending"/>
      </sharedItems>
    </cacheField>
    <cacheField name="Total Sales" numFmtId="173">
      <sharedItems containsSemiMixedTypes="0" containsString="0" containsNumber="1" containsInteger="1" minValue="110000" maxValue="5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ORD001"/>
    <d v="2026-09-01T00:00:00"/>
    <s v="Amanda Putri"/>
    <x v="0"/>
    <x v="0"/>
    <x v="0"/>
    <n v="2"/>
    <n v="85000"/>
    <s v="Paid"/>
    <x v="0"/>
    <n v="170000"/>
  </r>
  <r>
    <s v="ORD002"/>
    <d v="2026-09-01T00:00:00"/>
    <s v="Rina Maharani"/>
    <x v="1"/>
    <x v="1"/>
    <x v="1"/>
    <n v="3"/>
    <n v="55000"/>
    <s v="Paid"/>
    <x v="0"/>
    <n v="165000"/>
  </r>
  <r>
    <s v="ORD003"/>
    <d v="2026-09-02T00:00:00"/>
    <s v="Dinda Safitri"/>
    <x v="2"/>
    <x v="2"/>
    <x v="2"/>
    <n v="2"/>
    <n v="120000"/>
    <s v="Paid"/>
    <x v="0"/>
    <n v="240000"/>
  </r>
  <r>
    <s v="ORD004"/>
    <d v="2026-09-02T00:00:00"/>
    <s v="Nadia Permata"/>
    <x v="3"/>
    <x v="3"/>
    <x v="3"/>
    <n v="1"/>
    <n v="275000"/>
    <s v="Paid"/>
    <x v="0"/>
    <n v="275000"/>
  </r>
  <r>
    <s v="ORD005"/>
    <d v="2026-09-03T00:00:00"/>
    <s v="Salsa Amelia"/>
    <x v="4"/>
    <x v="0"/>
    <x v="0"/>
    <n v="2"/>
    <n v="95000"/>
    <s v="Paid"/>
    <x v="0"/>
    <n v="190000"/>
  </r>
  <r>
    <s v="ORD006"/>
    <d v="2026-09-03T00:00:00"/>
    <s v="Farah Aulia"/>
    <x v="5"/>
    <x v="1"/>
    <x v="4"/>
    <n v="1"/>
    <n v="135000"/>
    <s v="Paid"/>
    <x v="1"/>
    <n v="135000"/>
  </r>
  <r>
    <s v="ORD007"/>
    <d v="2026-09-04T00:00:00"/>
    <s v="Anisa Rahma"/>
    <x v="6"/>
    <x v="2"/>
    <x v="2"/>
    <n v="2"/>
    <n v="110000"/>
    <s v="Paid"/>
    <x v="0"/>
    <n v="220000"/>
  </r>
  <r>
    <s v="ORD008"/>
    <d v="2026-09-04T00:00:00"/>
    <s v="Clara Wijaya"/>
    <x v="0"/>
    <x v="0"/>
    <x v="1"/>
    <n v="3"/>
    <n v="85000"/>
    <s v="Paid"/>
    <x v="0"/>
    <n v="255000"/>
  </r>
  <r>
    <s v="ORD009"/>
    <d v="2026-09-05T00:00:00"/>
    <s v="Maya Sari"/>
    <x v="1"/>
    <x v="1"/>
    <x v="0"/>
    <n v="4"/>
    <n v="55000"/>
    <s v="Paid"/>
    <x v="0"/>
    <n v="220000"/>
  </r>
  <r>
    <s v="ORD010"/>
    <d v="2026-09-05T00:00:00"/>
    <s v="Putri Amelia"/>
    <x v="2"/>
    <x v="2"/>
    <x v="3"/>
    <n v="1"/>
    <n v="120000"/>
    <s v="Unpaid"/>
    <x v="2"/>
    <n v="120000"/>
  </r>
  <r>
    <s v="ORD011"/>
    <d v="2026-09-06T00:00:00"/>
    <s v="Alya Nurfadila"/>
    <x v="3"/>
    <x v="3"/>
    <x v="1"/>
    <n v="2"/>
    <n v="275000"/>
    <s v="Paid"/>
    <x v="0"/>
    <n v="550000"/>
  </r>
  <r>
    <s v="ORD012"/>
    <d v="2026-09-06T00:00:00"/>
    <s v="Nabila Zahra"/>
    <x v="4"/>
    <x v="0"/>
    <x v="2"/>
    <n v="2"/>
    <n v="95000"/>
    <s v="Paid"/>
    <x v="0"/>
    <n v="190000"/>
  </r>
  <r>
    <s v="ORD013"/>
    <d v="2026-09-07T00:00:00"/>
    <s v="Siti Aisyah"/>
    <x v="5"/>
    <x v="1"/>
    <x v="0"/>
    <n v="2"/>
    <n v="135000"/>
    <s v="Paid"/>
    <x v="0"/>
    <n v="270000"/>
  </r>
  <r>
    <s v="ORD014"/>
    <d v="2026-09-07T00:00:00"/>
    <s v="Keisha Anindya"/>
    <x v="6"/>
    <x v="2"/>
    <x v="4"/>
    <n v="1"/>
    <n v="110000"/>
    <s v="Paid"/>
    <x v="0"/>
    <n v="110000"/>
  </r>
  <r>
    <s v="ORD015"/>
    <d v="2026-09-08T00:00:00"/>
    <s v="Indah Permata"/>
    <x v="0"/>
    <x v="0"/>
    <x v="3"/>
    <n v="4"/>
    <n v="85000"/>
    <s v="Paid"/>
    <x v="0"/>
    <n v="340000"/>
  </r>
  <r>
    <s v="ORD016"/>
    <d v="2026-09-08T00:00:00"/>
    <s v="Salma Khairunnisa"/>
    <x v="1"/>
    <x v="1"/>
    <x v="1"/>
    <n v="2"/>
    <n v="55000"/>
    <s v="Paid"/>
    <x v="1"/>
    <n v="110000"/>
  </r>
  <r>
    <s v="ORD017"/>
    <d v="2026-09-09T00:00:00"/>
    <s v="Amelia Putri"/>
    <x v="2"/>
    <x v="2"/>
    <x v="0"/>
    <n v="3"/>
    <n v="120000"/>
    <s v="Paid"/>
    <x v="0"/>
    <n v="360000"/>
  </r>
  <r>
    <s v="ORD018"/>
    <d v="2026-09-09T00:00:00"/>
    <s v="Hana Safira"/>
    <x v="3"/>
    <x v="3"/>
    <x v="2"/>
    <n v="1"/>
    <n v="275000"/>
    <s v="Paid"/>
    <x v="0"/>
    <n v="275000"/>
  </r>
  <r>
    <s v="ORD019"/>
    <d v="2026-09-10T00:00:00"/>
    <s v="Naura Fadhilah"/>
    <x v="4"/>
    <x v="0"/>
    <x v="4"/>
    <n v="3"/>
    <n v="95000"/>
    <s v="Paid"/>
    <x v="0"/>
    <n v="285000"/>
  </r>
  <r>
    <s v="ORD020"/>
    <d v="2026-09-10T00:00:00"/>
    <s v="Aurel Maharani"/>
    <x v="5"/>
    <x v="1"/>
    <x v="3"/>
    <n v="2"/>
    <n v="135000"/>
    <s v="Unpaid"/>
    <x v="2"/>
    <n v="270000"/>
  </r>
  <r>
    <s v="ORD021"/>
    <d v="2026-09-11T00:00:00"/>
    <s v="Kayla Anindita"/>
    <x v="6"/>
    <x v="2"/>
    <x v="1"/>
    <n v="2"/>
    <n v="110000"/>
    <s v="Paid"/>
    <x v="0"/>
    <n v="220000"/>
  </r>
  <r>
    <s v="ORD022"/>
    <d v="2026-09-11T00:00:00"/>
    <s v="Fitria Ningsih"/>
    <x v="0"/>
    <x v="0"/>
    <x v="0"/>
    <n v="2"/>
    <n v="85000"/>
    <s v="Paid"/>
    <x v="0"/>
    <n v="170000"/>
  </r>
  <r>
    <s v="ORD023"/>
    <d v="2026-09-12T00:00:00"/>
    <s v="Shafa Nuraini"/>
    <x v="1"/>
    <x v="1"/>
    <x v="2"/>
    <n v="5"/>
    <n v="55000"/>
    <s v="Paid"/>
    <x v="0"/>
    <n v="275000"/>
  </r>
  <r>
    <s v="ORD024"/>
    <d v="2026-09-12T00:00:00"/>
    <s v="Naomi Putri"/>
    <x v="2"/>
    <x v="2"/>
    <x v="3"/>
    <n v="2"/>
    <n v="120000"/>
    <s v="Paid"/>
    <x v="0"/>
    <n v="240000"/>
  </r>
  <r>
    <s v="ORD025"/>
    <d v="2026-09-13T00:00:00"/>
    <s v="Almira Salsabila"/>
    <x v="3"/>
    <x v="3"/>
    <x v="0"/>
    <n v="1"/>
    <n v="275000"/>
    <s v="Paid"/>
    <x v="0"/>
    <n v="275000"/>
  </r>
  <r>
    <s v="ORD026"/>
    <d v="2026-09-13T00:00:00"/>
    <s v="Zahra Amelia"/>
    <x v="4"/>
    <x v="0"/>
    <x v="1"/>
    <n v="4"/>
    <n v="95000"/>
    <s v="Paid"/>
    <x v="0"/>
    <n v="380000"/>
  </r>
  <r>
    <s v="ORD027"/>
    <d v="2026-09-14T00:00:00"/>
    <s v="Annisa Putri"/>
    <x v="5"/>
    <x v="1"/>
    <x v="4"/>
    <n v="1"/>
    <n v="135000"/>
    <s v="Paid"/>
    <x v="1"/>
    <n v="135000"/>
  </r>
  <r>
    <s v="ORD028"/>
    <d v="2026-09-14T00:00:00"/>
    <s v="Kiara Maharani"/>
    <x v="6"/>
    <x v="2"/>
    <x v="2"/>
    <n v="3"/>
    <n v="110000"/>
    <s v="Paid"/>
    <x v="0"/>
    <n v="330000"/>
  </r>
  <r>
    <s v="ORD029"/>
    <d v="2026-09-15T00:00:00"/>
    <s v="Amanda Safitri"/>
    <x v="0"/>
    <x v="0"/>
    <x v="3"/>
    <n v="2"/>
    <n v="85000"/>
    <s v="Paid"/>
    <x v="0"/>
    <n v="170000"/>
  </r>
  <r>
    <s v="ORD030"/>
    <d v="2026-09-15T00:00:00"/>
    <s v="Rania Azzahra"/>
    <x v="1"/>
    <x v="1"/>
    <x v="0"/>
    <n v="3"/>
    <n v="55000"/>
    <s v="Paid"/>
    <x v="0"/>
    <n v="16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A1A02C-4C20-4D5F-9249-26582AB70880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9:B43" firstHeaderRow="1" firstDataRow="1" firstDataCol="1"/>
  <pivotFields count="11">
    <pivotField dataField="1" showAll="0"/>
    <pivotField numFmtId="14" showAll="0"/>
    <pivotField showAll="0"/>
    <pivotField showAll="0"/>
    <pivotField showAll="0"/>
    <pivotField showAll="0"/>
    <pivotField showAll="0"/>
    <pivotField numFmtId="171" showAll="0"/>
    <pivotField showAll="0"/>
    <pivotField axis="axisRow" showAll="0">
      <items count="4">
        <item x="0"/>
        <item x="2"/>
        <item x="1"/>
        <item t="default"/>
      </items>
    </pivotField>
    <pivotField numFmtId="173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 ID" fld="0" subtotal="count" baseField="0" baseItem="0"/>
  </dataFields>
  <formats count="6"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9" type="button" dataOnly="0" labelOnly="1" outline="0" axis="axisRow" fieldPosition="0"/>
    </format>
    <format dxfId="37">
      <pivotArea dataOnly="0" labelOnly="1" fieldPosition="0">
        <references count="1">
          <reference field="9" count="0"/>
        </references>
      </pivotArea>
    </format>
    <format dxfId="36">
      <pivotArea dataOnly="0" labelOnly="1" grandRow="1" outline="0" fieldPosition="0"/>
    </format>
    <format dxfId="35">
      <pivotArea dataOnly="0" labelOnly="1" outline="0" axis="axisValues" fieldPosition="0"/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3C3ED-DF78-4BC4-B975-86FFBF0B5687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7:C35" firstHeaderRow="0" firstDataRow="1" firstDataCol="1"/>
  <pivotFields count="11">
    <pivotField showAll="0"/>
    <pivotField numFmtId="14" showAll="0"/>
    <pivotField showAll="0"/>
    <pivotField axis="axisRow" showAll="0">
      <items count="8">
        <item x="1"/>
        <item x="2"/>
        <item x="0"/>
        <item x="3"/>
        <item x="4"/>
        <item x="6"/>
        <item x="5"/>
        <item t="default"/>
      </items>
    </pivotField>
    <pivotField showAll="0"/>
    <pivotField showAll="0"/>
    <pivotField dataField="1" showAll="0"/>
    <pivotField numFmtId="171" showAll="0"/>
    <pivotField showAll="0"/>
    <pivotField showAll="0"/>
    <pivotField dataField="1" numFmtId="173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6" baseField="0" baseItem="0"/>
    <dataField name="Sum of Total Sales" fld="10" baseField="0" baseItem="0" numFmtId="173"/>
  </dataFields>
  <formats count="6"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3" type="button" dataOnly="0" labelOnly="1" outline="0" axis="axisRow" fieldPosition="0"/>
    </format>
    <format dxfId="31">
      <pivotArea dataOnly="0" labelOnly="1" fieldPosition="0">
        <references count="1">
          <reference field="3" count="0"/>
        </references>
      </pivotArea>
    </format>
    <format dxfId="30">
      <pivotArea dataOnly="0" labelOnly="1" grandRow="1" outline="0" fieldPosition="0"/>
    </format>
    <format dxfId="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89D23C-8A06-4A20-B769-7EEB65B3E776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4:B20" firstHeaderRow="1" firstDataRow="1" firstDataCol="1"/>
  <pivotFields count="11">
    <pivotField showAll="0"/>
    <pivotField numFmtId="14" showAll="0"/>
    <pivotField showAll="0"/>
    <pivotField showAll="0"/>
    <pivotField showAll="0"/>
    <pivotField axis="axisRow" showAll="0">
      <items count="6">
        <item x="2"/>
        <item x="4"/>
        <item x="3"/>
        <item x="1"/>
        <item x="0"/>
        <item t="default"/>
      </items>
    </pivotField>
    <pivotField showAll="0"/>
    <pivotField numFmtId="171" showAll="0"/>
    <pivotField showAll="0"/>
    <pivotField showAll="0"/>
    <pivotField dataField="1" numFmtId="173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10" baseField="0" baseItem="0" numFmtId="173"/>
  </dataFields>
  <formats count="6"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5" type="button" dataOnly="0" labelOnly="1" outline="0" axis="axisRow" fieldPosition="0"/>
    </format>
    <format dxfId="25">
      <pivotArea dataOnly="0" labelOnly="1" fieldPosition="0">
        <references count="1">
          <reference field="5" count="0"/>
        </references>
      </pivotArea>
    </format>
    <format dxfId="24">
      <pivotArea dataOnly="0" labelOnly="1" grandRow="1" outline="0" fieldPosition="0"/>
    </format>
    <format dxfId="23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B36EE7-4D7F-4ACA-985F-2810856129AD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1:B6" firstHeaderRow="1" firstDataRow="1" firstDataCol="1"/>
  <pivotFields count="11">
    <pivotField showAll="0"/>
    <pivotField numFmtId="14"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numFmtId="171" showAll="0"/>
    <pivotField showAll="0"/>
    <pivotField showAll="0"/>
    <pivotField dataField="1" numFmtId="173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10" baseField="0" baseItem="0" numFmtId="173"/>
  </dataFields>
  <formats count="6"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4" type="button" dataOnly="0" labelOnly="1" outline="0" axis="axisRow" fieldPosition="0"/>
    </format>
    <format dxfId="19">
      <pivotArea dataOnly="0" labelOnly="1" fieldPosition="0">
        <references count="1">
          <reference field="4" count="0"/>
        </references>
      </pivotArea>
    </format>
    <format dxfId="18">
      <pivotArea dataOnly="0" labelOnly="1" grandRow="1" outline="0" fieldPosition="0"/>
    </format>
    <format dxfId="17">
      <pivotArea dataOnly="0" labelOnly="1" outline="0" axis="axisValues" fieldPosition="0"/>
    </format>
  </format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47838D-6AEE-4981-BC59-D1089B3DADF7}" name="Table2" displayName="Table2" ref="A1:K31" totalsRowShown="0" headerRowDxfId="1" dataDxfId="41" headerRowBorderDxfId="14" tableBorderDxfId="15" totalsRowBorderDxfId="13">
  <autoFilter ref="A1:K31" xr:uid="{3A47838D-6AEE-4981-BC59-D1089B3DADF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8F5CF0EB-434F-46AB-AC96-BDB6EA51C5F7}" name="Order ID" dataDxfId="12"/>
    <tableColumn id="2" xr3:uid="{C7FF17DD-22B2-4EEF-9216-1C0C64AD0354}" name="Order Date" dataDxfId="11"/>
    <tableColumn id="3" xr3:uid="{51DD3819-3004-4C88-A6AF-13B892184B9B}" name="Customer Name" dataDxfId="10"/>
    <tableColumn id="4" xr3:uid="{9A35637D-F98C-44B4-8A6B-2266670C26BB}" name="Product" dataDxfId="9"/>
    <tableColumn id="5" xr3:uid="{E961454A-34BC-4F2F-BA24-B671E2F042CD}" name="Category" dataDxfId="8"/>
    <tableColumn id="6" xr3:uid="{D6919504-B183-468C-A3D7-C0FAA5E4CBEC}" name="Region" dataDxfId="7"/>
    <tableColumn id="7" xr3:uid="{32F95D04-975D-4124-8EC6-2D41FFC8422E}" name="Quantity" dataDxfId="6"/>
    <tableColumn id="8" xr3:uid="{3B3BA031-F797-4152-8601-5D88FA878CD2}" name="Unit Price" dataDxfId="5"/>
    <tableColumn id="9" xr3:uid="{C67E180D-367B-4559-B9B1-F91D1AD60081}" name="Payment Status" dataDxfId="4"/>
    <tableColumn id="10" xr3:uid="{C4CC1FFE-659E-42F5-9EC4-618456C1505A}" name="Order Status" dataDxfId="3"/>
    <tableColumn id="11" xr3:uid="{A2FCBFE8-09A2-41F1-A6A8-84D0C9F01BBD}" name="Total Sales" dataDxfId="2" dataCellStyle="Currency">
      <calculatedColumnFormula>G2*H2</calculatedColumnFormula>
    </tableColumn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0850AB-7CA8-4543-AF33-A7275EFAA572}" name="Table3" displayName="Table3" ref="E12:F18" totalsRowShown="0">
  <autoFilter ref="E12:F18" xr:uid="{350850AB-7CA8-4543-AF33-A7275EFAA572}">
    <filterColumn colId="0" hiddenButton="1"/>
    <filterColumn colId="1" hiddenButton="1"/>
  </autoFilter>
  <tableColumns count="2">
    <tableColumn id="1" xr3:uid="{F16DDC3E-6795-4308-A261-6D93BB7BB710}" name="Row Labels"/>
    <tableColumn id="2" xr3:uid="{8DA9CA89-41A2-46F8-913B-380C340A20DA}" name="Sum of Total Sales" dataDxfId="16" dataCellStyle="Currency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79471A-2A69-4ABE-ADDB-9672417994DB}" name="Table4" displayName="Table4" ref="A12:B17" totalsRowShown="0">
  <autoFilter ref="A12:B17" xr:uid="{DE79471A-2A69-4ABE-ADDB-9672417994DB}">
    <filterColumn colId="0" hiddenButton="1"/>
    <filterColumn colId="1" hiddenButton="1"/>
  </autoFilter>
  <tableColumns count="2">
    <tableColumn id="1" xr3:uid="{BC680FAA-1D11-4B53-BA64-4D18A47764C8}" name="Row Labels"/>
    <tableColumn id="2" xr3:uid="{1625A4FB-7FA0-459F-BDF9-B5ED35D2C990}" name="Sum of Total Sales" dataDxfId="0" dataCellStyle="Currency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6EB88-49D9-48BB-A7F5-DD28A914668F}">
  <dimension ref="A1:K31"/>
  <sheetViews>
    <sheetView showGridLines="0" zoomScale="55" workbookViewId="0">
      <selection activeCell="O22" sqref="O22"/>
    </sheetView>
  </sheetViews>
  <sheetFormatPr defaultRowHeight="14" x14ac:dyDescent="0.3"/>
  <cols>
    <col min="1" max="1" width="9.6328125" style="2" bestFit="1" customWidth="1"/>
    <col min="2" max="2" width="11.6328125" style="2" bestFit="1" customWidth="1"/>
    <col min="3" max="3" width="15.90625" style="2" bestFit="1" customWidth="1"/>
    <col min="4" max="4" width="21.453125" style="2" bestFit="1" customWidth="1"/>
    <col min="5" max="5" width="14" style="2" bestFit="1" customWidth="1"/>
    <col min="6" max="6" width="7.7265625" style="2" bestFit="1" customWidth="1"/>
    <col min="7" max="7" width="9.1796875" style="2" bestFit="1" customWidth="1"/>
    <col min="8" max="8" width="10.453125" style="2" bestFit="1" customWidth="1"/>
    <col min="9" max="9" width="15.36328125" style="2" bestFit="1" customWidth="1"/>
    <col min="10" max="10" width="13.08984375" style="2" bestFit="1" customWidth="1"/>
    <col min="11" max="11" width="11" style="2" bestFit="1" customWidth="1"/>
    <col min="12" max="16384" width="8.7265625" style="2"/>
  </cols>
  <sheetData>
    <row r="1" spans="1:11" ht="14.5" x14ac:dyDescent="0.35">
      <c r="A1" s="5" t="s">
        <v>81</v>
      </c>
      <c r="B1" s="5" t="s">
        <v>82</v>
      </c>
      <c r="C1" s="5" t="s">
        <v>83</v>
      </c>
      <c r="D1" s="5" t="s">
        <v>84</v>
      </c>
      <c r="E1" s="5" t="s">
        <v>85</v>
      </c>
      <c r="F1" s="5" t="s">
        <v>86</v>
      </c>
      <c r="G1" s="5" t="s">
        <v>87</v>
      </c>
      <c r="H1" s="5" t="s">
        <v>88</v>
      </c>
      <c r="I1" s="5" t="s">
        <v>89</v>
      </c>
      <c r="J1" s="5" t="s">
        <v>90</v>
      </c>
      <c r="K1" s="5" t="s">
        <v>91</v>
      </c>
    </row>
    <row r="2" spans="1:11" ht="14.5" x14ac:dyDescent="0.35">
      <c r="A2" s="5" t="s">
        <v>0</v>
      </c>
      <c r="B2" s="6">
        <v>46266</v>
      </c>
      <c r="C2" s="5" t="s">
        <v>1</v>
      </c>
      <c r="D2" s="5" t="s">
        <v>2</v>
      </c>
      <c r="E2" s="5" t="s">
        <v>3</v>
      </c>
      <c r="F2" s="5" t="s">
        <v>4</v>
      </c>
      <c r="G2" s="5">
        <v>2</v>
      </c>
      <c r="H2" s="5">
        <v>85000</v>
      </c>
      <c r="I2" s="5" t="s">
        <v>5</v>
      </c>
      <c r="J2" s="5" t="s">
        <v>6</v>
      </c>
      <c r="K2" s="5">
        <f>G2*H2</f>
        <v>170000</v>
      </c>
    </row>
    <row r="3" spans="1:11" ht="14.5" x14ac:dyDescent="0.35">
      <c r="A3" s="5" t="s">
        <v>7</v>
      </c>
      <c r="B3" s="6">
        <v>46266</v>
      </c>
      <c r="C3" s="5" t="s">
        <v>8</v>
      </c>
      <c r="D3" s="5" t="s">
        <v>9</v>
      </c>
      <c r="E3" s="5" t="s">
        <v>10</v>
      </c>
      <c r="F3" s="5" t="s">
        <v>11</v>
      </c>
      <c r="G3" s="5">
        <v>3</v>
      </c>
      <c r="H3" s="5">
        <v>55000</v>
      </c>
      <c r="I3" s="5" t="s">
        <v>5</v>
      </c>
      <c r="J3" s="5" t="s">
        <v>6</v>
      </c>
      <c r="K3" s="5">
        <f t="shared" ref="K3:K31" si="0">G3*H3</f>
        <v>165000</v>
      </c>
    </row>
    <row r="4" spans="1:11" ht="14.5" x14ac:dyDescent="0.35">
      <c r="A4" s="5" t="s">
        <v>12</v>
      </c>
      <c r="B4" s="6">
        <v>46267</v>
      </c>
      <c r="C4" s="5" t="s">
        <v>13</v>
      </c>
      <c r="D4" s="5" t="s">
        <v>14</v>
      </c>
      <c r="E4" s="5" t="s">
        <v>15</v>
      </c>
      <c r="F4" s="5" t="s">
        <v>16</v>
      </c>
      <c r="G4" s="5">
        <v>2</v>
      </c>
      <c r="H4" s="5">
        <v>120000</v>
      </c>
      <c r="I4" s="5" t="s">
        <v>5</v>
      </c>
      <c r="J4" s="5" t="s">
        <v>6</v>
      </c>
      <c r="K4" s="5">
        <f t="shared" si="0"/>
        <v>240000</v>
      </c>
    </row>
    <row r="5" spans="1:11" ht="14.5" x14ac:dyDescent="0.35">
      <c r="A5" s="5" t="s">
        <v>17</v>
      </c>
      <c r="B5" s="6">
        <v>46267</v>
      </c>
      <c r="C5" s="5" t="s">
        <v>18</v>
      </c>
      <c r="D5" s="5" t="s">
        <v>19</v>
      </c>
      <c r="E5" s="5" t="s">
        <v>20</v>
      </c>
      <c r="F5" s="5" t="s">
        <v>21</v>
      </c>
      <c r="G5" s="5">
        <v>1</v>
      </c>
      <c r="H5" s="5">
        <v>275000</v>
      </c>
      <c r="I5" s="5" t="s">
        <v>5</v>
      </c>
      <c r="J5" s="5" t="s">
        <v>6</v>
      </c>
      <c r="K5" s="5">
        <f t="shared" si="0"/>
        <v>275000</v>
      </c>
    </row>
    <row r="6" spans="1:11" ht="14.5" x14ac:dyDescent="0.35">
      <c r="A6" s="5" t="s">
        <v>22</v>
      </c>
      <c r="B6" s="6">
        <v>46268</v>
      </c>
      <c r="C6" s="5" t="s">
        <v>23</v>
      </c>
      <c r="D6" s="5" t="s">
        <v>24</v>
      </c>
      <c r="E6" s="5" t="s">
        <v>3</v>
      </c>
      <c r="F6" s="5" t="s">
        <v>4</v>
      </c>
      <c r="G6" s="5">
        <v>2</v>
      </c>
      <c r="H6" s="5">
        <v>95000</v>
      </c>
      <c r="I6" s="5" t="s">
        <v>5</v>
      </c>
      <c r="J6" s="5" t="s">
        <v>6</v>
      </c>
      <c r="K6" s="5">
        <f t="shared" si="0"/>
        <v>190000</v>
      </c>
    </row>
    <row r="7" spans="1:11" ht="14.5" x14ac:dyDescent="0.35">
      <c r="A7" s="5" t="s">
        <v>25</v>
      </c>
      <c r="B7" s="6">
        <v>46268</v>
      </c>
      <c r="C7" s="5" t="s">
        <v>26</v>
      </c>
      <c r="D7" s="5" t="s">
        <v>27</v>
      </c>
      <c r="E7" s="5" t="s">
        <v>10</v>
      </c>
      <c r="F7" s="5" t="s">
        <v>28</v>
      </c>
      <c r="G7" s="5">
        <v>1</v>
      </c>
      <c r="H7" s="5">
        <v>135000</v>
      </c>
      <c r="I7" s="5" t="s">
        <v>5</v>
      </c>
      <c r="J7" s="5" t="s">
        <v>29</v>
      </c>
      <c r="K7" s="5">
        <f t="shared" si="0"/>
        <v>135000</v>
      </c>
    </row>
    <row r="8" spans="1:11" ht="14.5" x14ac:dyDescent="0.35">
      <c r="A8" s="5" t="s">
        <v>30</v>
      </c>
      <c r="B8" s="6">
        <v>46269</v>
      </c>
      <c r="C8" s="5" t="s">
        <v>31</v>
      </c>
      <c r="D8" s="5" t="s">
        <v>32</v>
      </c>
      <c r="E8" s="5" t="s">
        <v>15</v>
      </c>
      <c r="F8" s="5" t="s">
        <v>16</v>
      </c>
      <c r="G8" s="5">
        <v>2</v>
      </c>
      <c r="H8" s="5">
        <v>110000</v>
      </c>
      <c r="I8" s="5" t="s">
        <v>5</v>
      </c>
      <c r="J8" s="5" t="s">
        <v>6</v>
      </c>
      <c r="K8" s="5">
        <f t="shared" si="0"/>
        <v>220000</v>
      </c>
    </row>
    <row r="9" spans="1:11" ht="14.5" x14ac:dyDescent="0.35">
      <c r="A9" s="5" t="s">
        <v>33</v>
      </c>
      <c r="B9" s="6">
        <v>46269</v>
      </c>
      <c r="C9" s="5" t="s">
        <v>34</v>
      </c>
      <c r="D9" s="5" t="s">
        <v>2</v>
      </c>
      <c r="E9" s="5" t="s">
        <v>3</v>
      </c>
      <c r="F9" s="5" t="s">
        <v>11</v>
      </c>
      <c r="G9" s="5">
        <v>3</v>
      </c>
      <c r="H9" s="5">
        <v>85000</v>
      </c>
      <c r="I9" s="5" t="s">
        <v>5</v>
      </c>
      <c r="J9" s="5" t="s">
        <v>6</v>
      </c>
      <c r="K9" s="5">
        <f t="shared" si="0"/>
        <v>255000</v>
      </c>
    </row>
    <row r="10" spans="1:11" ht="14.5" x14ac:dyDescent="0.35">
      <c r="A10" s="5" t="s">
        <v>35</v>
      </c>
      <c r="B10" s="6">
        <v>46270</v>
      </c>
      <c r="C10" s="5" t="s">
        <v>36</v>
      </c>
      <c r="D10" s="5" t="s">
        <v>9</v>
      </c>
      <c r="E10" s="5" t="s">
        <v>10</v>
      </c>
      <c r="F10" s="5" t="s">
        <v>4</v>
      </c>
      <c r="G10" s="5">
        <v>4</v>
      </c>
      <c r="H10" s="5">
        <v>55000</v>
      </c>
      <c r="I10" s="5" t="s">
        <v>5</v>
      </c>
      <c r="J10" s="5" t="s">
        <v>6</v>
      </c>
      <c r="K10" s="5">
        <f t="shared" si="0"/>
        <v>220000</v>
      </c>
    </row>
    <row r="11" spans="1:11" ht="14.5" x14ac:dyDescent="0.35">
      <c r="A11" s="5" t="s">
        <v>37</v>
      </c>
      <c r="B11" s="6">
        <v>46270</v>
      </c>
      <c r="C11" s="5" t="s">
        <v>38</v>
      </c>
      <c r="D11" s="5" t="s">
        <v>14</v>
      </c>
      <c r="E11" s="5" t="s">
        <v>15</v>
      </c>
      <c r="F11" s="5" t="s">
        <v>21</v>
      </c>
      <c r="G11" s="5">
        <v>1</v>
      </c>
      <c r="H11" s="5">
        <v>120000</v>
      </c>
      <c r="I11" s="5" t="s">
        <v>39</v>
      </c>
      <c r="J11" s="5" t="s">
        <v>40</v>
      </c>
      <c r="K11" s="5">
        <f t="shared" si="0"/>
        <v>120000</v>
      </c>
    </row>
    <row r="12" spans="1:11" ht="14.5" x14ac:dyDescent="0.35">
      <c r="A12" s="5" t="s">
        <v>41</v>
      </c>
      <c r="B12" s="6">
        <v>46271</v>
      </c>
      <c r="C12" s="5" t="s">
        <v>42</v>
      </c>
      <c r="D12" s="5" t="s">
        <v>19</v>
      </c>
      <c r="E12" s="5" t="s">
        <v>20</v>
      </c>
      <c r="F12" s="5" t="s">
        <v>11</v>
      </c>
      <c r="G12" s="5">
        <v>2</v>
      </c>
      <c r="H12" s="5">
        <v>275000</v>
      </c>
      <c r="I12" s="5" t="s">
        <v>5</v>
      </c>
      <c r="J12" s="5" t="s">
        <v>6</v>
      </c>
      <c r="K12" s="5">
        <f t="shared" si="0"/>
        <v>550000</v>
      </c>
    </row>
    <row r="13" spans="1:11" ht="14.5" x14ac:dyDescent="0.35">
      <c r="A13" s="5" t="s">
        <v>43</v>
      </c>
      <c r="B13" s="6">
        <v>46271</v>
      </c>
      <c r="C13" s="5" t="s">
        <v>44</v>
      </c>
      <c r="D13" s="5" t="s">
        <v>24</v>
      </c>
      <c r="E13" s="5" t="s">
        <v>3</v>
      </c>
      <c r="F13" s="5" t="s">
        <v>16</v>
      </c>
      <c r="G13" s="5">
        <v>2</v>
      </c>
      <c r="H13" s="5">
        <v>95000</v>
      </c>
      <c r="I13" s="5" t="s">
        <v>5</v>
      </c>
      <c r="J13" s="5" t="s">
        <v>6</v>
      </c>
      <c r="K13" s="5">
        <f t="shared" si="0"/>
        <v>190000</v>
      </c>
    </row>
    <row r="14" spans="1:11" ht="14.5" x14ac:dyDescent="0.35">
      <c r="A14" s="5" t="s">
        <v>45</v>
      </c>
      <c r="B14" s="6">
        <v>46272</v>
      </c>
      <c r="C14" s="5" t="s">
        <v>46</v>
      </c>
      <c r="D14" s="5" t="s">
        <v>27</v>
      </c>
      <c r="E14" s="5" t="s">
        <v>10</v>
      </c>
      <c r="F14" s="5" t="s">
        <v>4</v>
      </c>
      <c r="G14" s="5">
        <v>2</v>
      </c>
      <c r="H14" s="5">
        <v>135000</v>
      </c>
      <c r="I14" s="5" t="s">
        <v>5</v>
      </c>
      <c r="J14" s="5" t="s">
        <v>6</v>
      </c>
      <c r="K14" s="5">
        <f t="shared" si="0"/>
        <v>270000</v>
      </c>
    </row>
    <row r="15" spans="1:11" ht="14.5" x14ac:dyDescent="0.35">
      <c r="A15" s="5" t="s">
        <v>47</v>
      </c>
      <c r="B15" s="6">
        <v>46272</v>
      </c>
      <c r="C15" s="5" t="s">
        <v>48</v>
      </c>
      <c r="D15" s="5" t="s">
        <v>32</v>
      </c>
      <c r="E15" s="5" t="s">
        <v>15</v>
      </c>
      <c r="F15" s="5" t="s">
        <v>28</v>
      </c>
      <c r="G15" s="5">
        <v>1</v>
      </c>
      <c r="H15" s="5">
        <v>110000</v>
      </c>
      <c r="I15" s="5" t="s">
        <v>5</v>
      </c>
      <c r="J15" s="5" t="s">
        <v>6</v>
      </c>
      <c r="K15" s="5">
        <f t="shared" si="0"/>
        <v>110000</v>
      </c>
    </row>
    <row r="16" spans="1:11" ht="14.5" x14ac:dyDescent="0.35">
      <c r="A16" s="5" t="s">
        <v>49</v>
      </c>
      <c r="B16" s="6">
        <v>46273</v>
      </c>
      <c r="C16" s="5" t="s">
        <v>50</v>
      </c>
      <c r="D16" s="5" t="s">
        <v>2</v>
      </c>
      <c r="E16" s="5" t="s">
        <v>3</v>
      </c>
      <c r="F16" s="5" t="s">
        <v>21</v>
      </c>
      <c r="G16" s="5">
        <v>4</v>
      </c>
      <c r="H16" s="5">
        <v>85000</v>
      </c>
      <c r="I16" s="5" t="s">
        <v>5</v>
      </c>
      <c r="J16" s="5" t="s">
        <v>6</v>
      </c>
      <c r="K16" s="5">
        <f t="shared" si="0"/>
        <v>340000</v>
      </c>
    </row>
    <row r="17" spans="1:11" ht="14.5" x14ac:dyDescent="0.35">
      <c r="A17" s="5" t="s">
        <v>51</v>
      </c>
      <c r="B17" s="6">
        <v>46273</v>
      </c>
      <c r="C17" s="5" t="s">
        <v>52</v>
      </c>
      <c r="D17" s="5" t="s">
        <v>9</v>
      </c>
      <c r="E17" s="5" t="s">
        <v>10</v>
      </c>
      <c r="F17" s="5" t="s">
        <v>11</v>
      </c>
      <c r="G17" s="5">
        <v>2</v>
      </c>
      <c r="H17" s="5">
        <v>55000</v>
      </c>
      <c r="I17" s="5" t="s">
        <v>5</v>
      </c>
      <c r="J17" s="5" t="s">
        <v>29</v>
      </c>
      <c r="K17" s="5">
        <f t="shared" si="0"/>
        <v>110000</v>
      </c>
    </row>
    <row r="18" spans="1:11" ht="14.5" x14ac:dyDescent="0.35">
      <c r="A18" s="5" t="s">
        <v>53</v>
      </c>
      <c r="B18" s="6">
        <v>46274</v>
      </c>
      <c r="C18" s="5" t="s">
        <v>54</v>
      </c>
      <c r="D18" s="5" t="s">
        <v>14</v>
      </c>
      <c r="E18" s="5" t="s">
        <v>15</v>
      </c>
      <c r="F18" s="5" t="s">
        <v>4</v>
      </c>
      <c r="G18" s="5">
        <v>3</v>
      </c>
      <c r="H18" s="5">
        <v>120000</v>
      </c>
      <c r="I18" s="5" t="s">
        <v>5</v>
      </c>
      <c r="J18" s="5" t="s">
        <v>6</v>
      </c>
      <c r="K18" s="5">
        <f t="shared" si="0"/>
        <v>360000</v>
      </c>
    </row>
    <row r="19" spans="1:11" ht="14.5" x14ac:dyDescent="0.35">
      <c r="A19" s="5" t="s">
        <v>55</v>
      </c>
      <c r="B19" s="6">
        <v>46274</v>
      </c>
      <c r="C19" s="5" t="s">
        <v>56</v>
      </c>
      <c r="D19" s="5" t="s">
        <v>19</v>
      </c>
      <c r="E19" s="5" t="s">
        <v>20</v>
      </c>
      <c r="F19" s="5" t="s">
        <v>16</v>
      </c>
      <c r="G19" s="5">
        <v>1</v>
      </c>
      <c r="H19" s="5">
        <v>275000</v>
      </c>
      <c r="I19" s="5" t="s">
        <v>5</v>
      </c>
      <c r="J19" s="5" t="s">
        <v>6</v>
      </c>
      <c r="K19" s="5">
        <f t="shared" si="0"/>
        <v>275000</v>
      </c>
    </row>
    <row r="20" spans="1:11" ht="14.5" x14ac:dyDescent="0.35">
      <c r="A20" s="5" t="s">
        <v>57</v>
      </c>
      <c r="B20" s="6">
        <v>46275</v>
      </c>
      <c r="C20" s="5" t="s">
        <v>58</v>
      </c>
      <c r="D20" s="5" t="s">
        <v>24</v>
      </c>
      <c r="E20" s="5" t="s">
        <v>3</v>
      </c>
      <c r="F20" s="5" t="s">
        <v>28</v>
      </c>
      <c r="G20" s="5">
        <v>3</v>
      </c>
      <c r="H20" s="5">
        <v>95000</v>
      </c>
      <c r="I20" s="5" t="s">
        <v>5</v>
      </c>
      <c r="J20" s="5" t="s">
        <v>6</v>
      </c>
      <c r="K20" s="5">
        <f t="shared" si="0"/>
        <v>285000</v>
      </c>
    </row>
    <row r="21" spans="1:11" ht="14.5" x14ac:dyDescent="0.35">
      <c r="A21" s="5" t="s">
        <v>59</v>
      </c>
      <c r="B21" s="6">
        <v>46275</v>
      </c>
      <c r="C21" s="5" t="s">
        <v>60</v>
      </c>
      <c r="D21" s="5" t="s">
        <v>27</v>
      </c>
      <c r="E21" s="5" t="s">
        <v>10</v>
      </c>
      <c r="F21" s="5" t="s">
        <v>21</v>
      </c>
      <c r="G21" s="5">
        <v>2</v>
      </c>
      <c r="H21" s="5">
        <v>135000</v>
      </c>
      <c r="I21" s="5" t="s">
        <v>39</v>
      </c>
      <c r="J21" s="5" t="s">
        <v>40</v>
      </c>
      <c r="K21" s="5">
        <f t="shared" si="0"/>
        <v>270000</v>
      </c>
    </row>
    <row r="22" spans="1:11" ht="14.5" x14ac:dyDescent="0.35">
      <c r="A22" s="5" t="s">
        <v>61</v>
      </c>
      <c r="B22" s="6">
        <v>46276</v>
      </c>
      <c r="C22" s="5" t="s">
        <v>62</v>
      </c>
      <c r="D22" s="5" t="s">
        <v>32</v>
      </c>
      <c r="E22" s="5" t="s">
        <v>15</v>
      </c>
      <c r="F22" s="5" t="s">
        <v>11</v>
      </c>
      <c r="G22" s="5">
        <v>2</v>
      </c>
      <c r="H22" s="5">
        <v>110000</v>
      </c>
      <c r="I22" s="5" t="s">
        <v>5</v>
      </c>
      <c r="J22" s="5" t="s">
        <v>6</v>
      </c>
      <c r="K22" s="5">
        <f t="shared" si="0"/>
        <v>220000</v>
      </c>
    </row>
    <row r="23" spans="1:11" ht="14.5" x14ac:dyDescent="0.35">
      <c r="A23" s="5" t="s">
        <v>63</v>
      </c>
      <c r="B23" s="6">
        <v>46276</v>
      </c>
      <c r="C23" s="5" t="s">
        <v>64</v>
      </c>
      <c r="D23" s="5" t="s">
        <v>2</v>
      </c>
      <c r="E23" s="5" t="s">
        <v>3</v>
      </c>
      <c r="F23" s="5" t="s">
        <v>4</v>
      </c>
      <c r="G23" s="5">
        <v>2</v>
      </c>
      <c r="H23" s="5">
        <v>85000</v>
      </c>
      <c r="I23" s="5" t="s">
        <v>5</v>
      </c>
      <c r="J23" s="5" t="s">
        <v>6</v>
      </c>
      <c r="K23" s="5">
        <f t="shared" si="0"/>
        <v>170000</v>
      </c>
    </row>
    <row r="24" spans="1:11" ht="14.5" x14ac:dyDescent="0.35">
      <c r="A24" s="5" t="s">
        <v>65</v>
      </c>
      <c r="B24" s="6">
        <v>46277</v>
      </c>
      <c r="C24" s="5" t="s">
        <v>66</v>
      </c>
      <c r="D24" s="5" t="s">
        <v>9</v>
      </c>
      <c r="E24" s="5" t="s">
        <v>10</v>
      </c>
      <c r="F24" s="5" t="s">
        <v>16</v>
      </c>
      <c r="G24" s="5">
        <v>5</v>
      </c>
      <c r="H24" s="5">
        <v>55000</v>
      </c>
      <c r="I24" s="5" t="s">
        <v>5</v>
      </c>
      <c r="J24" s="5" t="s">
        <v>6</v>
      </c>
      <c r="K24" s="5">
        <f t="shared" si="0"/>
        <v>275000</v>
      </c>
    </row>
    <row r="25" spans="1:11" ht="14.5" x14ac:dyDescent="0.35">
      <c r="A25" s="5" t="s">
        <v>67</v>
      </c>
      <c r="B25" s="6">
        <v>46277</v>
      </c>
      <c r="C25" s="5" t="s">
        <v>68</v>
      </c>
      <c r="D25" s="5" t="s">
        <v>14</v>
      </c>
      <c r="E25" s="5" t="s">
        <v>15</v>
      </c>
      <c r="F25" s="5" t="s">
        <v>21</v>
      </c>
      <c r="G25" s="5">
        <v>2</v>
      </c>
      <c r="H25" s="5">
        <v>120000</v>
      </c>
      <c r="I25" s="5" t="s">
        <v>5</v>
      </c>
      <c r="J25" s="5" t="s">
        <v>6</v>
      </c>
      <c r="K25" s="5">
        <f t="shared" si="0"/>
        <v>240000</v>
      </c>
    </row>
    <row r="26" spans="1:11" ht="14.5" x14ac:dyDescent="0.35">
      <c r="A26" s="5" t="s">
        <v>69</v>
      </c>
      <c r="B26" s="6">
        <v>46278</v>
      </c>
      <c r="C26" s="5" t="s">
        <v>70</v>
      </c>
      <c r="D26" s="5" t="s">
        <v>19</v>
      </c>
      <c r="E26" s="5" t="s">
        <v>20</v>
      </c>
      <c r="F26" s="5" t="s">
        <v>4</v>
      </c>
      <c r="G26" s="5">
        <v>1</v>
      </c>
      <c r="H26" s="5">
        <v>275000</v>
      </c>
      <c r="I26" s="5" t="s">
        <v>5</v>
      </c>
      <c r="J26" s="5" t="s">
        <v>6</v>
      </c>
      <c r="K26" s="5">
        <f t="shared" si="0"/>
        <v>275000</v>
      </c>
    </row>
    <row r="27" spans="1:11" ht="14.5" x14ac:dyDescent="0.35">
      <c r="A27" s="5" t="s">
        <v>71</v>
      </c>
      <c r="B27" s="6">
        <v>46278</v>
      </c>
      <c r="C27" s="5" t="s">
        <v>72</v>
      </c>
      <c r="D27" s="5" t="s">
        <v>24</v>
      </c>
      <c r="E27" s="5" t="s">
        <v>3</v>
      </c>
      <c r="F27" s="5" t="s">
        <v>11</v>
      </c>
      <c r="G27" s="5">
        <v>4</v>
      </c>
      <c r="H27" s="5">
        <v>95000</v>
      </c>
      <c r="I27" s="5" t="s">
        <v>5</v>
      </c>
      <c r="J27" s="5" t="s">
        <v>6</v>
      </c>
      <c r="K27" s="5">
        <f t="shared" si="0"/>
        <v>380000</v>
      </c>
    </row>
    <row r="28" spans="1:11" ht="14.5" x14ac:dyDescent="0.35">
      <c r="A28" s="5" t="s">
        <v>73</v>
      </c>
      <c r="B28" s="6">
        <v>46279</v>
      </c>
      <c r="C28" s="5" t="s">
        <v>74</v>
      </c>
      <c r="D28" s="5" t="s">
        <v>27</v>
      </c>
      <c r="E28" s="5" t="s">
        <v>10</v>
      </c>
      <c r="F28" s="5" t="s">
        <v>28</v>
      </c>
      <c r="G28" s="5">
        <v>1</v>
      </c>
      <c r="H28" s="5">
        <v>135000</v>
      </c>
      <c r="I28" s="5" t="s">
        <v>5</v>
      </c>
      <c r="J28" s="5" t="s">
        <v>29</v>
      </c>
      <c r="K28" s="5">
        <f t="shared" si="0"/>
        <v>135000</v>
      </c>
    </row>
    <row r="29" spans="1:11" ht="14.5" x14ac:dyDescent="0.35">
      <c r="A29" s="5" t="s">
        <v>75</v>
      </c>
      <c r="B29" s="6">
        <v>46279</v>
      </c>
      <c r="C29" s="5" t="s">
        <v>76</v>
      </c>
      <c r="D29" s="5" t="s">
        <v>32</v>
      </c>
      <c r="E29" s="5" t="s">
        <v>15</v>
      </c>
      <c r="F29" s="5" t="s">
        <v>16</v>
      </c>
      <c r="G29" s="5">
        <v>3</v>
      </c>
      <c r="H29" s="5">
        <v>110000</v>
      </c>
      <c r="I29" s="5" t="s">
        <v>5</v>
      </c>
      <c r="J29" s="5" t="s">
        <v>6</v>
      </c>
      <c r="K29" s="5">
        <f t="shared" si="0"/>
        <v>330000</v>
      </c>
    </row>
    <row r="30" spans="1:11" ht="14.5" x14ac:dyDescent="0.35">
      <c r="A30" s="5" t="s">
        <v>77</v>
      </c>
      <c r="B30" s="6">
        <v>46280</v>
      </c>
      <c r="C30" s="5" t="s">
        <v>78</v>
      </c>
      <c r="D30" s="5" t="s">
        <v>2</v>
      </c>
      <c r="E30" s="5" t="s">
        <v>3</v>
      </c>
      <c r="F30" s="5" t="s">
        <v>21</v>
      </c>
      <c r="G30" s="5">
        <v>2</v>
      </c>
      <c r="H30" s="5">
        <v>85000</v>
      </c>
      <c r="I30" s="5" t="s">
        <v>5</v>
      </c>
      <c r="J30" s="5" t="s">
        <v>6</v>
      </c>
      <c r="K30" s="5">
        <f t="shared" si="0"/>
        <v>170000</v>
      </c>
    </row>
    <row r="31" spans="1:11" ht="14.5" x14ac:dyDescent="0.35">
      <c r="A31" s="5" t="s">
        <v>79</v>
      </c>
      <c r="B31" s="6">
        <v>46280</v>
      </c>
      <c r="C31" s="5" t="s">
        <v>80</v>
      </c>
      <c r="D31" s="5" t="s">
        <v>9</v>
      </c>
      <c r="E31" s="5" t="s">
        <v>10</v>
      </c>
      <c r="F31" s="5" t="s">
        <v>4</v>
      </c>
      <c r="G31" s="5">
        <v>3</v>
      </c>
      <c r="H31" s="5">
        <v>55000</v>
      </c>
      <c r="I31" s="5" t="s">
        <v>5</v>
      </c>
      <c r="J31" s="5" t="s">
        <v>6</v>
      </c>
      <c r="K31" s="5">
        <f t="shared" si="0"/>
        <v>165000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5114-8914-4CF5-9C11-5F3C257449C4}">
  <dimension ref="A1:K31"/>
  <sheetViews>
    <sheetView showGridLines="0" zoomScale="51" workbookViewId="0">
      <selection activeCell="V18" sqref="V18"/>
    </sheetView>
  </sheetViews>
  <sheetFormatPr defaultRowHeight="14.5" x14ac:dyDescent="0.35"/>
  <cols>
    <col min="1" max="1" width="9.7265625" customWidth="1"/>
    <col min="2" max="2" width="11.81640625" style="1" bestFit="1" customWidth="1"/>
    <col min="3" max="3" width="16.6328125" bestFit="1" customWidth="1"/>
    <col min="4" max="4" width="22" bestFit="1" customWidth="1"/>
    <col min="5" max="5" width="14.90625" bestFit="1" customWidth="1"/>
    <col min="6" max="6" width="8.08984375" bestFit="1" customWidth="1"/>
    <col min="7" max="7" width="9.7265625" bestFit="1" customWidth="1"/>
    <col min="8" max="8" width="12" style="8" bestFit="1" customWidth="1"/>
    <col min="9" max="9" width="16.08984375" bestFit="1" customWidth="1"/>
    <col min="10" max="10" width="13.453125" bestFit="1" customWidth="1"/>
    <col min="11" max="11" width="13.26953125" style="9" bestFit="1" customWidth="1"/>
  </cols>
  <sheetData>
    <row r="1" spans="1:11" ht="15.5" x14ac:dyDescent="0.35">
      <c r="A1" s="15" t="s">
        <v>81</v>
      </c>
      <c r="B1" s="16" t="s">
        <v>82</v>
      </c>
      <c r="C1" s="17" t="s">
        <v>83</v>
      </c>
      <c r="D1" s="17" t="s">
        <v>84</v>
      </c>
      <c r="E1" s="17" t="s">
        <v>85</v>
      </c>
      <c r="F1" s="17" t="s">
        <v>86</v>
      </c>
      <c r="G1" s="17" t="s">
        <v>87</v>
      </c>
      <c r="H1" s="18" t="s">
        <v>88</v>
      </c>
      <c r="I1" s="17" t="s">
        <v>89</v>
      </c>
      <c r="J1" s="17" t="s">
        <v>90</v>
      </c>
      <c r="K1" s="19" t="s">
        <v>91</v>
      </c>
    </row>
    <row r="2" spans="1:11" x14ac:dyDescent="0.35">
      <c r="A2" s="20" t="s">
        <v>0</v>
      </c>
      <c r="B2" s="21">
        <v>46266</v>
      </c>
      <c r="C2" s="22" t="s">
        <v>1</v>
      </c>
      <c r="D2" s="22" t="s">
        <v>2</v>
      </c>
      <c r="E2" s="22" t="s">
        <v>3</v>
      </c>
      <c r="F2" s="22" t="s">
        <v>4</v>
      </c>
      <c r="G2" s="22">
        <v>2</v>
      </c>
      <c r="H2" s="23">
        <v>85000</v>
      </c>
      <c r="I2" s="22" t="s">
        <v>5</v>
      </c>
      <c r="J2" s="22" t="s">
        <v>6</v>
      </c>
      <c r="K2" s="24">
        <f>G2*H2</f>
        <v>170000</v>
      </c>
    </row>
    <row r="3" spans="1:11" x14ac:dyDescent="0.35">
      <c r="A3" s="20" t="s">
        <v>7</v>
      </c>
      <c r="B3" s="21">
        <v>46266</v>
      </c>
      <c r="C3" s="22" t="s">
        <v>8</v>
      </c>
      <c r="D3" s="22" t="s">
        <v>9</v>
      </c>
      <c r="E3" s="22" t="s">
        <v>10</v>
      </c>
      <c r="F3" s="22" t="s">
        <v>11</v>
      </c>
      <c r="G3" s="22">
        <v>3</v>
      </c>
      <c r="H3" s="23">
        <v>55000</v>
      </c>
      <c r="I3" s="22" t="s">
        <v>5</v>
      </c>
      <c r="J3" s="22" t="s">
        <v>6</v>
      </c>
      <c r="K3" s="24">
        <f t="shared" ref="K3:K31" si="0">G3*H3</f>
        <v>165000</v>
      </c>
    </row>
    <row r="4" spans="1:11" x14ac:dyDescent="0.35">
      <c r="A4" s="20" t="s">
        <v>12</v>
      </c>
      <c r="B4" s="21">
        <v>46267</v>
      </c>
      <c r="C4" s="22" t="s">
        <v>13</v>
      </c>
      <c r="D4" s="22" t="s">
        <v>14</v>
      </c>
      <c r="E4" s="22" t="s">
        <v>15</v>
      </c>
      <c r="F4" s="22" t="s">
        <v>16</v>
      </c>
      <c r="G4" s="22">
        <v>2</v>
      </c>
      <c r="H4" s="23">
        <v>120000</v>
      </c>
      <c r="I4" s="22" t="s">
        <v>5</v>
      </c>
      <c r="J4" s="22" t="s">
        <v>6</v>
      </c>
      <c r="K4" s="24">
        <f t="shared" si="0"/>
        <v>240000</v>
      </c>
    </row>
    <row r="5" spans="1:11" x14ac:dyDescent="0.35">
      <c r="A5" s="20" t="s">
        <v>17</v>
      </c>
      <c r="B5" s="21">
        <v>46267</v>
      </c>
      <c r="C5" s="22" t="s">
        <v>18</v>
      </c>
      <c r="D5" s="22" t="s">
        <v>19</v>
      </c>
      <c r="E5" s="22" t="s">
        <v>20</v>
      </c>
      <c r="F5" s="22" t="s">
        <v>21</v>
      </c>
      <c r="G5" s="22">
        <v>1</v>
      </c>
      <c r="H5" s="23">
        <v>275000</v>
      </c>
      <c r="I5" s="22" t="s">
        <v>5</v>
      </c>
      <c r="J5" s="22" t="s">
        <v>6</v>
      </c>
      <c r="K5" s="24">
        <f t="shared" si="0"/>
        <v>275000</v>
      </c>
    </row>
    <row r="6" spans="1:11" x14ac:dyDescent="0.35">
      <c r="A6" s="20" t="s">
        <v>22</v>
      </c>
      <c r="B6" s="21">
        <v>46268</v>
      </c>
      <c r="C6" s="22" t="s">
        <v>23</v>
      </c>
      <c r="D6" s="22" t="s">
        <v>24</v>
      </c>
      <c r="E6" s="22" t="s">
        <v>3</v>
      </c>
      <c r="F6" s="22" t="s">
        <v>4</v>
      </c>
      <c r="G6" s="22">
        <v>2</v>
      </c>
      <c r="H6" s="23">
        <v>95000</v>
      </c>
      <c r="I6" s="22" t="s">
        <v>5</v>
      </c>
      <c r="J6" s="22" t="s">
        <v>6</v>
      </c>
      <c r="K6" s="24">
        <f t="shared" si="0"/>
        <v>190000</v>
      </c>
    </row>
    <row r="7" spans="1:11" x14ac:dyDescent="0.35">
      <c r="A7" s="20" t="s">
        <v>25</v>
      </c>
      <c r="B7" s="21">
        <v>46268</v>
      </c>
      <c r="C7" s="22" t="s">
        <v>26</v>
      </c>
      <c r="D7" s="22" t="s">
        <v>27</v>
      </c>
      <c r="E7" s="22" t="s">
        <v>10</v>
      </c>
      <c r="F7" s="22" t="s">
        <v>28</v>
      </c>
      <c r="G7" s="22">
        <v>1</v>
      </c>
      <c r="H7" s="23">
        <v>135000</v>
      </c>
      <c r="I7" s="22" t="s">
        <v>5</v>
      </c>
      <c r="J7" s="22" t="s">
        <v>29</v>
      </c>
      <c r="K7" s="24">
        <f t="shared" si="0"/>
        <v>135000</v>
      </c>
    </row>
    <row r="8" spans="1:11" x14ac:dyDescent="0.35">
      <c r="A8" s="20" t="s">
        <v>30</v>
      </c>
      <c r="B8" s="21">
        <v>46269</v>
      </c>
      <c r="C8" s="22" t="s">
        <v>31</v>
      </c>
      <c r="D8" s="22" t="s">
        <v>32</v>
      </c>
      <c r="E8" s="22" t="s">
        <v>15</v>
      </c>
      <c r="F8" s="22" t="s">
        <v>16</v>
      </c>
      <c r="G8" s="22">
        <v>2</v>
      </c>
      <c r="H8" s="23">
        <v>110000</v>
      </c>
      <c r="I8" s="22" t="s">
        <v>5</v>
      </c>
      <c r="J8" s="22" t="s">
        <v>6</v>
      </c>
      <c r="K8" s="24">
        <f t="shared" si="0"/>
        <v>220000</v>
      </c>
    </row>
    <row r="9" spans="1:11" x14ac:dyDescent="0.35">
      <c r="A9" s="20" t="s">
        <v>33</v>
      </c>
      <c r="B9" s="21">
        <v>46269</v>
      </c>
      <c r="C9" s="22" t="s">
        <v>34</v>
      </c>
      <c r="D9" s="22" t="s">
        <v>2</v>
      </c>
      <c r="E9" s="22" t="s">
        <v>3</v>
      </c>
      <c r="F9" s="22" t="s">
        <v>11</v>
      </c>
      <c r="G9" s="22">
        <v>3</v>
      </c>
      <c r="H9" s="23">
        <v>85000</v>
      </c>
      <c r="I9" s="22" t="s">
        <v>5</v>
      </c>
      <c r="J9" s="22" t="s">
        <v>6</v>
      </c>
      <c r="K9" s="24">
        <f t="shared" si="0"/>
        <v>255000</v>
      </c>
    </row>
    <row r="10" spans="1:11" x14ac:dyDescent="0.35">
      <c r="A10" s="20" t="s">
        <v>35</v>
      </c>
      <c r="B10" s="21">
        <v>46270</v>
      </c>
      <c r="C10" s="22" t="s">
        <v>36</v>
      </c>
      <c r="D10" s="22" t="s">
        <v>9</v>
      </c>
      <c r="E10" s="22" t="s">
        <v>10</v>
      </c>
      <c r="F10" s="22" t="s">
        <v>4</v>
      </c>
      <c r="G10" s="22">
        <v>4</v>
      </c>
      <c r="H10" s="23">
        <v>55000</v>
      </c>
      <c r="I10" s="22" t="s">
        <v>5</v>
      </c>
      <c r="J10" s="22" t="s">
        <v>6</v>
      </c>
      <c r="K10" s="24">
        <f t="shared" si="0"/>
        <v>220000</v>
      </c>
    </row>
    <row r="11" spans="1:11" x14ac:dyDescent="0.35">
      <c r="A11" s="20" t="s">
        <v>37</v>
      </c>
      <c r="B11" s="21">
        <v>46270</v>
      </c>
      <c r="C11" s="22" t="s">
        <v>38</v>
      </c>
      <c r="D11" s="22" t="s">
        <v>14</v>
      </c>
      <c r="E11" s="22" t="s">
        <v>15</v>
      </c>
      <c r="F11" s="22" t="s">
        <v>21</v>
      </c>
      <c r="G11" s="22">
        <v>1</v>
      </c>
      <c r="H11" s="23">
        <v>120000</v>
      </c>
      <c r="I11" s="22" t="s">
        <v>39</v>
      </c>
      <c r="J11" s="22" t="s">
        <v>40</v>
      </c>
      <c r="K11" s="24">
        <f t="shared" si="0"/>
        <v>120000</v>
      </c>
    </row>
    <row r="12" spans="1:11" x14ac:dyDescent="0.35">
      <c r="A12" s="20" t="s">
        <v>41</v>
      </c>
      <c r="B12" s="21">
        <v>46271</v>
      </c>
      <c r="C12" s="22" t="s">
        <v>42</v>
      </c>
      <c r="D12" s="22" t="s">
        <v>19</v>
      </c>
      <c r="E12" s="22" t="s">
        <v>20</v>
      </c>
      <c r="F12" s="22" t="s">
        <v>11</v>
      </c>
      <c r="G12" s="22">
        <v>2</v>
      </c>
      <c r="H12" s="23">
        <v>275000</v>
      </c>
      <c r="I12" s="22" t="s">
        <v>5</v>
      </c>
      <c r="J12" s="22" t="s">
        <v>6</v>
      </c>
      <c r="K12" s="24">
        <f t="shared" si="0"/>
        <v>550000</v>
      </c>
    </row>
    <row r="13" spans="1:11" x14ac:dyDescent="0.35">
      <c r="A13" s="20" t="s">
        <v>43</v>
      </c>
      <c r="B13" s="21">
        <v>46271</v>
      </c>
      <c r="C13" s="22" t="s">
        <v>44</v>
      </c>
      <c r="D13" s="22" t="s">
        <v>24</v>
      </c>
      <c r="E13" s="22" t="s">
        <v>3</v>
      </c>
      <c r="F13" s="22" t="s">
        <v>16</v>
      </c>
      <c r="G13" s="22">
        <v>2</v>
      </c>
      <c r="H13" s="23">
        <v>95000</v>
      </c>
      <c r="I13" s="22" t="s">
        <v>5</v>
      </c>
      <c r="J13" s="22" t="s">
        <v>6</v>
      </c>
      <c r="K13" s="24">
        <f t="shared" si="0"/>
        <v>190000</v>
      </c>
    </row>
    <row r="14" spans="1:11" x14ac:dyDescent="0.35">
      <c r="A14" s="20" t="s">
        <v>45</v>
      </c>
      <c r="B14" s="21">
        <v>46272</v>
      </c>
      <c r="C14" s="22" t="s">
        <v>46</v>
      </c>
      <c r="D14" s="22" t="s">
        <v>27</v>
      </c>
      <c r="E14" s="22" t="s">
        <v>10</v>
      </c>
      <c r="F14" s="22" t="s">
        <v>4</v>
      </c>
      <c r="G14" s="22">
        <v>2</v>
      </c>
      <c r="H14" s="23">
        <v>135000</v>
      </c>
      <c r="I14" s="22" t="s">
        <v>5</v>
      </c>
      <c r="J14" s="22" t="s">
        <v>6</v>
      </c>
      <c r="K14" s="24">
        <f t="shared" si="0"/>
        <v>270000</v>
      </c>
    </row>
    <row r="15" spans="1:11" x14ac:dyDescent="0.35">
      <c r="A15" s="20" t="s">
        <v>47</v>
      </c>
      <c r="B15" s="21">
        <v>46272</v>
      </c>
      <c r="C15" s="22" t="s">
        <v>48</v>
      </c>
      <c r="D15" s="22" t="s">
        <v>32</v>
      </c>
      <c r="E15" s="22" t="s">
        <v>15</v>
      </c>
      <c r="F15" s="22" t="s">
        <v>28</v>
      </c>
      <c r="G15" s="22">
        <v>1</v>
      </c>
      <c r="H15" s="23">
        <v>110000</v>
      </c>
      <c r="I15" s="22" t="s">
        <v>5</v>
      </c>
      <c r="J15" s="22" t="s">
        <v>6</v>
      </c>
      <c r="K15" s="24">
        <f t="shared" si="0"/>
        <v>110000</v>
      </c>
    </row>
    <row r="16" spans="1:11" x14ac:dyDescent="0.35">
      <c r="A16" s="20" t="s">
        <v>49</v>
      </c>
      <c r="B16" s="21">
        <v>46273</v>
      </c>
      <c r="C16" s="22" t="s">
        <v>50</v>
      </c>
      <c r="D16" s="22" t="s">
        <v>2</v>
      </c>
      <c r="E16" s="22" t="s">
        <v>3</v>
      </c>
      <c r="F16" s="22" t="s">
        <v>21</v>
      </c>
      <c r="G16" s="22">
        <v>4</v>
      </c>
      <c r="H16" s="23">
        <v>85000</v>
      </c>
      <c r="I16" s="22" t="s">
        <v>5</v>
      </c>
      <c r="J16" s="22" t="s">
        <v>6</v>
      </c>
      <c r="K16" s="24">
        <f t="shared" si="0"/>
        <v>340000</v>
      </c>
    </row>
    <row r="17" spans="1:11" x14ac:dyDescent="0.35">
      <c r="A17" s="20" t="s">
        <v>51</v>
      </c>
      <c r="B17" s="21">
        <v>46273</v>
      </c>
      <c r="C17" s="22" t="s">
        <v>52</v>
      </c>
      <c r="D17" s="22" t="s">
        <v>9</v>
      </c>
      <c r="E17" s="22" t="s">
        <v>10</v>
      </c>
      <c r="F17" s="22" t="s">
        <v>11</v>
      </c>
      <c r="G17" s="22">
        <v>2</v>
      </c>
      <c r="H17" s="23">
        <v>55000</v>
      </c>
      <c r="I17" s="22" t="s">
        <v>5</v>
      </c>
      <c r="J17" s="22" t="s">
        <v>29</v>
      </c>
      <c r="K17" s="24">
        <f t="shared" si="0"/>
        <v>110000</v>
      </c>
    </row>
    <row r="18" spans="1:11" x14ac:dyDescent="0.35">
      <c r="A18" s="20" t="s">
        <v>53</v>
      </c>
      <c r="B18" s="21">
        <v>46274</v>
      </c>
      <c r="C18" s="22" t="s">
        <v>54</v>
      </c>
      <c r="D18" s="22" t="s">
        <v>14</v>
      </c>
      <c r="E18" s="22" t="s">
        <v>15</v>
      </c>
      <c r="F18" s="22" t="s">
        <v>4</v>
      </c>
      <c r="G18" s="22">
        <v>3</v>
      </c>
      <c r="H18" s="23">
        <v>120000</v>
      </c>
      <c r="I18" s="22" t="s">
        <v>5</v>
      </c>
      <c r="J18" s="22" t="s">
        <v>6</v>
      </c>
      <c r="K18" s="24">
        <f t="shared" si="0"/>
        <v>360000</v>
      </c>
    </row>
    <row r="19" spans="1:11" x14ac:dyDescent="0.35">
      <c r="A19" s="20" t="s">
        <v>55</v>
      </c>
      <c r="B19" s="21">
        <v>46274</v>
      </c>
      <c r="C19" s="22" t="s">
        <v>56</v>
      </c>
      <c r="D19" s="22" t="s">
        <v>19</v>
      </c>
      <c r="E19" s="22" t="s">
        <v>20</v>
      </c>
      <c r="F19" s="22" t="s">
        <v>16</v>
      </c>
      <c r="G19" s="22">
        <v>1</v>
      </c>
      <c r="H19" s="23">
        <v>275000</v>
      </c>
      <c r="I19" s="22" t="s">
        <v>5</v>
      </c>
      <c r="J19" s="22" t="s">
        <v>6</v>
      </c>
      <c r="K19" s="24">
        <f t="shared" si="0"/>
        <v>275000</v>
      </c>
    </row>
    <row r="20" spans="1:11" x14ac:dyDescent="0.35">
      <c r="A20" s="20" t="s">
        <v>57</v>
      </c>
      <c r="B20" s="21">
        <v>46275</v>
      </c>
      <c r="C20" s="22" t="s">
        <v>58</v>
      </c>
      <c r="D20" s="22" t="s">
        <v>24</v>
      </c>
      <c r="E20" s="22" t="s">
        <v>3</v>
      </c>
      <c r="F20" s="22" t="s">
        <v>28</v>
      </c>
      <c r="G20" s="22">
        <v>3</v>
      </c>
      <c r="H20" s="23">
        <v>95000</v>
      </c>
      <c r="I20" s="22" t="s">
        <v>5</v>
      </c>
      <c r="J20" s="22" t="s">
        <v>6</v>
      </c>
      <c r="K20" s="24">
        <f t="shared" si="0"/>
        <v>285000</v>
      </c>
    </row>
    <row r="21" spans="1:11" x14ac:dyDescent="0.35">
      <c r="A21" s="20" t="s">
        <v>59</v>
      </c>
      <c r="B21" s="21">
        <v>46275</v>
      </c>
      <c r="C21" s="22" t="s">
        <v>60</v>
      </c>
      <c r="D21" s="22" t="s">
        <v>27</v>
      </c>
      <c r="E21" s="22" t="s">
        <v>10</v>
      </c>
      <c r="F21" s="22" t="s">
        <v>21</v>
      </c>
      <c r="G21" s="22">
        <v>2</v>
      </c>
      <c r="H21" s="23">
        <v>135000</v>
      </c>
      <c r="I21" s="22" t="s">
        <v>39</v>
      </c>
      <c r="J21" s="22" t="s">
        <v>40</v>
      </c>
      <c r="K21" s="24">
        <f t="shared" si="0"/>
        <v>270000</v>
      </c>
    </row>
    <row r="22" spans="1:11" x14ac:dyDescent="0.35">
      <c r="A22" s="20" t="s">
        <v>61</v>
      </c>
      <c r="B22" s="21">
        <v>46276</v>
      </c>
      <c r="C22" s="22" t="s">
        <v>62</v>
      </c>
      <c r="D22" s="22" t="s">
        <v>32</v>
      </c>
      <c r="E22" s="22" t="s">
        <v>15</v>
      </c>
      <c r="F22" s="22" t="s">
        <v>11</v>
      </c>
      <c r="G22" s="22">
        <v>2</v>
      </c>
      <c r="H22" s="23">
        <v>110000</v>
      </c>
      <c r="I22" s="22" t="s">
        <v>5</v>
      </c>
      <c r="J22" s="22" t="s">
        <v>6</v>
      </c>
      <c r="K22" s="24">
        <f t="shared" si="0"/>
        <v>220000</v>
      </c>
    </row>
    <row r="23" spans="1:11" x14ac:dyDescent="0.35">
      <c r="A23" s="20" t="s">
        <v>63</v>
      </c>
      <c r="B23" s="21">
        <v>46276</v>
      </c>
      <c r="C23" s="22" t="s">
        <v>64</v>
      </c>
      <c r="D23" s="22" t="s">
        <v>2</v>
      </c>
      <c r="E23" s="22" t="s">
        <v>3</v>
      </c>
      <c r="F23" s="22" t="s">
        <v>4</v>
      </c>
      <c r="G23" s="22">
        <v>2</v>
      </c>
      <c r="H23" s="23">
        <v>85000</v>
      </c>
      <c r="I23" s="22" t="s">
        <v>5</v>
      </c>
      <c r="J23" s="22" t="s">
        <v>6</v>
      </c>
      <c r="K23" s="24">
        <f t="shared" si="0"/>
        <v>170000</v>
      </c>
    </row>
    <row r="24" spans="1:11" x14ac:dyDescent="0.35">
      <c r="A24" s="20" t="s">
        <v>65</v>
      </c>
      <c r="B24" s="21">
        <v>46277</v>
      </c>
      <c r="C24" s="22" t="s">
        <v>66</v>
      </c>
      <c r="D24" s="22" t="s">
        <v>9</v>
      </c>
      <c r="E24" s="22" t="s">
        <v>10</v>
      </c>
      <c r="F24" s="22" t="s">
        <v>16</v>
      </c>
      <c r="G24" s="22">
        <v>5</v>
      </c>
      <c r="H24" s="23">
        <v>55000</v>
      </c>
      <c r="I24" s="22" t="s">
        <v>5</v>
      </c>
      <c r="J24" s="22" t="s">
        <v>6</v>
      </c>
      <c r="K24" s="24">
        <f t="shared" si="0"/>
        <v>275000</v>
      </c>
    </row>
    <row r="25" spans="1:11" x14ac:dyDescent="0.35">
      <c r="A25" s="20" t="s">
        <v>67</v>
      </c>
      <c r="B25" s="21">
        <v>46277</v>
      </c>
      <c r="C25" s="22" t="s">
        <v>68</v>
      </c>
      <c r="D25" s="22" t="s">
        <v>14</v>
      </c>
      <c r="E25" s="22" t="s">
        <v>15</v>
      </c>
      <c r="F25" s="22" t="s">
        <v>21</v>
      </c>
      <c r="G25" s="22">
        <v>2</v>
      </c>
      <c r="H25" s="23">
        <v>120000</v>
      </c>
      <c r="I25" s="22" t="s">
        <v>5</v>
      </c>
      <c r="J25" s="22" t="s">
        <v>6</v>
      </c>
      <c r="K25" s="24">
        <f t="shared" si="0"/>
        <v>240000</v>
      </c>
    </row>
    <row r="26" spans="1:11" x14ac:dyDescent="0.35">
      <c r="A26" s="20" t="s">
        <v>69</v>
      </c>
      <c r="B26" s="21">
        <v>46278</v>
      </c>
      <c r="C26" s="22" t="s">
        <v>70</v>
      </c>
      <c r="D26" s="22" t="s">
        <v>19</v>
      </c>
      <c r="E26" s="22" t="s">
        <v>20</v>
      </c>
      <c r="F26" s="22" t="s">
        <v>4</v>
      </c>
      <c r="G26" s="22">
        <v>1</v>
      </c>
      <c r="H26" s="23">
        <v>275000</v>
      </c>
      <c r="I26" s="22" t="s">
        <v>5</v>
      </c>
      <c r="J26" s="22" t="s">
        <v>6</v>
      </c>
      <c r="K26" s="24">
        <f t="shared" si="0"/>
        <v>275000</v>
      </c>
    </row>
    <row r="27" spans="1:11" x14ac:dyDescent="0.35">
      <c r="A27" s="20" t="s">
        <v>71</v>
      </c>
      <c r="B27" s="21">
        <v>46278</v>
      </c>
      <c r="C27" s="22" t="s">
        <v>72</v>
      </c>
      <c r="D27" s="22" t="s">
        <v>24</v>
      </c>
      <c r="E27" s="22" t="s">
        <v>3</v>
      </c>
      <c r="F27" s="22" t="s">
        <v>11</v>
      </c>
      <c r="G27" s="22">
        <v>4</v>
      </c>
      <c r="H27" s="23">
        <v>95000</v>
      </c>
      <c r="I27" s="22" t="s">
        <v>5</v>
      </c>
      <c r="J27" s="22" t="s">
        <v>6</v>
      </c>
      <c r="K27" s="24">
        <f t="shared" si="0"/>
        <v>380000</v>
      </c>
    </row>
    <row r="28" spans="1:11" x14ac:dyDescent="0.35">
      <c r="A28" s="20" t="s">
        <v>73</v>
      </c>
      <c r="B28" s="21">
        <v>46279</v>
      </c>
      <c r="C28" s="22" t="s">
        <v>74</v>
      </c>
      <c r="D28" s="22" t="s">
        <v>27</v>
      </c>
      <c r="E28" s="22" t="s">
        <v>10</v>
      </c>
      <c r="F28" s="22" t="s">
        <v>28</v>
      </c>
      <c r="G28" s="22">
        <v>1</v>
      </c>
      <c r="H28" s="23">
        <v>135000</v>
      </c>
      <c r="I28" s="22" t="s">
        <v>5</v>
      </c>
      <c r="J28" s="22" t="s">
        <v>29</v>
      </c>
      <c r="K28" s="24">
        <f t="shared" si="0"/>
        <v>135000</v>
      </c>
    </row>
    <row r="29" spans="1:11" x14ac:dyDescent="0.35">
      <c r="A29" s="20" t="s">
        <v>75</v>
      </c>
      <c r="B29" s="21">
        <v>46279</v>
      </c>
      <c r="C29" s="22" t="s">
        <v>76</v>
      </c>
      <c r="D29" s="22" t="s">
        <v>32</v>
      </c>
      <c r="E29" s="22" t="s">
        <v>15</v>
      </c>
      <c r="F29" s="22" t="s">
        <v>16</v>
      </c>
      <c r="G29" s="22">
        <v>3</v>
      </c>
      <c r="H29" s="23">
        <v>110000</v>
      </c>
      <c r="I29" s="22" t="s">
        <v>5</v>
      </c>
      <c r="J29" s="22" t="s">
        <v>6</v>
      </c>
      <c r="K29" s="24">
        <f t="shared" si="0"/>
        <v>330000</v>
      </c>
    </row>
    <row r="30" spans="1:11" x14ac:dyDescent="0.35">
      <c r="A30" s="20" t="s">
        <v>77</v>
      </c>
      <c r="B30" s="21">
        <v>46280</v>
      </c>
      <c r="C30" s="22" t="s">
        <v>78</v>
      </c>
      <c r="D30" s="22" t="s">
        <v>2</v>
      </c>
      <c r="E30" s="22" t="s">
        <v>3</v>
      </c>
      <c r="F30" s="22" t="s">
        <v>21</v>
      </c>
      <c r="G30" s="22">
        <v>2</v>
      </c>
      <c r="H30" s="23">
        <v>85000</v>
      </c>
      <c r="I30" s="22" t="s">
        <v>5</v>
      </c>
      <c r="J30" s="22" t="s">
        <v>6</v>
      </c>
      <c r="K30" s="24">
        <f t="shared" si="0"/>
        <v>170000</v>
      </c>
    </row>
    <row r="31" spans="1:11" x14ac:dyDescent="0.35">
      <c r="A31" s="25" t="s">
        <v>79</v>
      </c>
      <c r="B31" s="26">
        <v>46280</v>
      </c>
      <c r="C31" s="27" t="s">
        <v>80</v>
      </c>
      <c r="D31" s="27" t="s">
        <v>9</v>
      </c>
      <c r="E31" s="27" t="s">
        <v>10</v>
      </c>
      <c r="F31" s="27" t="s">
        <v>4</v>
      </c>
      <c r="G31" s="27">
        <v>3</v>
      </c>
      <c r="H31" s="28">
        <v>55000</v>
      </c>
      <c r="I31" s="27" t="s">
        <v>5</v>
      </c>
      <c r="J31" s="27" t="s">
        <v>6</v>
      </c>
      <c r="K31" s="29">
        <f t="shared" si="0"/>
        <v>165000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CB2CB-CD73-42DD-9E1E-9074745D772A}">
  <dimension ref="A1:C43"/>
  <sheetViews>
    <sheetView showGridLines="0" zoomScale="40" zoomScaleNormal="43" workbookViewId="0">
      <selection activeCell="I10" sqref="I10"/>
    </sheetView>
  </sheetViews>
  <sheetFormatPr defaultRowHeight="14" x14ac:dyDescent="0.3"/>
  <cols>
    <col min="1" max="1" width="23.36328125" style="2" bestFit="1" customWidth="1"/>
    <col min="2" max="3" width="19.36328125" style="2" bestFit="1" customWidth="1"/>
    <col min="4" max="4" width="13.7265625" style="2" bestFit="1" customWidth="1"/>
    <col min="5" max="5" width="16.54296875" style="2" bestFit="1" customWidth="1"/>
    <col min="6" max="16384" width="8.7265625" style="2"/>
  </cols>
  <sheetData>
    <row r="1" spans="1:2" x14ac:dyDescent="0.3">
      <c r="A1" s="10" t="s">
        <v>92</v>
      </c>
      <c r="B1" s="2" t="s">
        <v>94</v>
      </c>
    </row>
    <row r="2" spans="1:2" x14ac:dyDescent="0.3">
      <c r="A2" s="11" t="s">
        <v>20</v>
      </c>
      <c r="B2" s="12">
        <v>1375000</v>
      </c>
    </row>
    <row r="3" spans="1:2" x14ac:dyDescent="0.3">
      <c r="A3" s="11" t="s">
        <v>15</v>
      </c>
      <c r="B3" s="12">
        <v>1840000</v>
      </c>
    </row>
    <row r="4" spans="1:2" x14ac:dyDescent="0.3">
      <c r="A4" s="11" t="s">
        <v>3</v>
      </c>
      <c r="B4" s="12">
        <v>2150000</v>
      </c>
    </row>
    <row r="5" spans="1:2" x14ac:dyDescent="0.3">
      <c r="A5" s="11" t="s">
        <v>10</v>
      </c>
      <c r="B5" s="12">
        <v>1745000</v>
      </c>
    </row>
    <row r="6" spans="1:2" x14ac:dyDescent="0.3">
      <c r="A6" s="11" t="s">
        <v>93</v>
      </c>
      <c r="B6" s="12">
        <v>7110000</v>
      </c>
    </row>
    <row r="14" spans="1:2" x14ac:dyDescent="0.3">
      <c r="A14" s="10" t="s">
        <v>92</v>
      </c>
      <c r="B14" s="2" t="s">
        <v>94</v>
      </c>
    </row>
    <row r="15" spans="1:2" x14ac:dyDescent="0.3">
      <c r="A15" s="11" t="s">
        <v>16</v>
      </c>
      <c r="B15" s="12">
        <v>1530000</v>
      </c>
    </row>
    <row r="16" spans="1:2" x14ac:dyDescent="0.3">
      <c r="A16" s="11" t="s">
        <v>28</v>
      </c>
      <c r="B16" s="12">
        <v>665000</v>
      </c>
    </row>
    <row r="17" spans="1:3" x14ac:dyDescent="0.3">
      <c r="A17" s="11" t="s">
        <v>21</v>
      </c>
      <c r="B17" s="12">
        <v>1415000</v>
      </c>
    </row>
    <row r="18" spans="1:3" x14ac:dyDescent="0.3">
      <c r="A18" s="11" t="s">
        <v>11</v>
      </c>
      <c r="B18" s="12">
        <v>1680000</v>
      </c>
    </row>
    <row r="19" spans="1:3" x14ac:dyDescent="0.3">
      <c r="A19" s="11" t="s">
        <v>4</v>
      </c>
      <c r="B19" s="12">
        <v>1820000</v>
      </c>
    </row>
    <row r="20" spans="1:3" x14ac:dyDescent="0.3">
      <c r="A20" s="11" t="s">
        <v>93</v>
      </c>
      <c r="B20" s="12">
        <v>7110000</v>
      </c>
    </row>
    <row r="27" spans="1:3" x14ac:dyDescent="0.3">
      <c r="A27" s="10" t="s">
        <v>92</v>
      </c>
      <c r="B27" s="2" t="s">
        <v>95</v>
      </c>
      <c r="C27" s="2" t="s">
        <v>94</v>
      </c>
    </row>
    <row r="28" spans="1:3" x14ac:dyDescent="0.3">
      <c r="A28" s="11" t="s">
        <v>9</v>
      </c>
      <c r="B28" s="13">
        <v>17</v>
      </c>
      <c r="C28" s="12">
        <v>935000</v>
      </c>
    </row>
    <row r="29" spans="1:3" x14ac:dyDescent="0.3">
      <c r="A29" s="11" t="s">
        <v>14</v>
      </c>
      <c r="B29" s="13">
        <v>8</v>
      </c>
      <c r="C29" s="12">
        <v>960000</v>
      </c>
    </row>
    <row r="30" spans="1:3" x14ac:dyDescent="0.3">
      <c r="A30" s="11" t="s">
        <v>2</v>
      </c>
      <c r="B30" s="13">
        <v>13</v>
      </c>
      <c r="C30" s="12">
        <v>1105000</v>
      </c>
    </row>
    <row r="31" spans="1:3" x14ac:dyDescent="0.3">
      <c r="A31" s="11" t="s">
        <v>19</v>
      </c>
      <c r="B31" s="13">
        <v>5</v>
      </c>
      <c r="C31" s="12">
        <v>1375000</v>
      </c>
    </row>
    <row r="32" spans="1:3" x14ac:dyDescent="0.3">
      <c r="A32" s="11" t="s">
        <v>24</v>
      </c>
      <c r="B32" s="13">
        <v>11</v>
      </c>
      <c r="C32" s="12">
        <v>1045000</v>
      </c>
    </row>
    <row r="33" spans="1:3" x14ac:dyDescent="0.3">
      <c r="A33" s="11" t="s">
        <v>32</v>
      </c>
      <c r="B33" s="13">
        <v>8</v>
      </c>
      <c r="C33" s="12">
        <v>880000</v>
      </c>
    </row>
    <row r="34" spans="1:3" x14ac:dyDescent="0.3">
      <c r="A34" s="11" t="s">
        <v>27</v>
      </c>
      <c r="B34" s="13">
        <v>6</v>
      </c>
      <c r="C34" s="12">
        <v>810000</v>
      </c>
    </row>
    <row r="35" spans="1:3" x14ac:dyDescent="0.3">
      <c r="A35" s="11" t="s">
        <v>93</v>
      </c>
      <c r="B35" s="13">
        <v>68</v>
      </c>
      <c r="C35" s="12">
        <v>7110000</v>
      </c>
    </row>
    <row r="39" spans="1:3" x14ac:dyDescent="0.3">
      <c r="A39" s="10" t="s">
        <v>92</v>
      </c>
      <c r="B39" s="2" t="s">
        <v>96</v>
      </c>
    </row>
    <row r="40" spans="1:3" x14ac:dyDescent="0.3">
      <c r="A40" s="11" t="s">
        <v>6</v>
      </c>
      <c r="B40" s="13">
        <v>25</v>
      </c>
    </row>
    <row r="41" spans="1:3" x14ac:dyDescent="0.3">
      <c r="A41" s="11" t="s">
        <v>40</v>
      </c>
      <c r="B41" s="13">
        <v>2</v>
      </c>
    </row>
    <row r="42" spans="1:3" x14ac:dyDescent="0.3">
      <c r="A42" s="11" t="s">
        <v>29</v>
      </c>
      <c r="B42" s="13">
        <v>3</v>
      </c>
    </row>
    <row r="43" spans="1:3" x14ac:dyDescent="0.3">
      <c r="A43" s="11" t="s">
        <v>93</v>
      </c>
      <c r="B43" s="13">
        <v>30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884D7-24F1-418A-B460-2B3DBCE705A5}">
  <dimension ref="A1:G29"/>
  <sheetViews>
    <sheetView showGridLines="0" tabSelected="1" zoomScale="62" workbookViewId="0">
      <selection activeCell="C10" sqref="C10"/>
    </sheetView>
  </sheetViews>
  <sheetFormatPr defaultRowHeight="14" x14ac:dyDescent="0.3"/>
  <cols>
    <col min="1" max="1" width="32.81640625" style="2" bestFit="1" customWidth="1"/>
    <col min="2" max="2" width="17.36328125" style="2" customWidth="1"/>
    <col min="3" max="3" width="15" style="2" bestFit="1" customWidth="1"/>
    <col min="4" max="4" width="8.7265625" style="2"/>
    <col min="5" max="5" width="13.81640625" style="2" bestFit="1" customWidth="1"/>
    <col min="6" max="6" width="17.36328125" style="2" customWidth="1"/>
    <col min="7" max="7" width="9.453125" style="2" bestFit="1" customWidth="1"/>
    <col min="8" max="16384" width="8.7265625" style="2"/>
  </cols>
  <sheetData>
    <row r="1" spans="1:7" ht="15" x14ac:dyDescent="0.3">
      <c r="A1" s="3" t="s">
        <v>97</v>
      </c>
    </row>
    <row r="2" spans="1:7" x14ac:dyDescent="0.3">
      <c r="A2" s="2" t="s">
        <v>98</v>
      </c>
    </row>
    <row r="3" spans="1:7" x14ac:dyDescent="0.3">
      <c r="A3" s="14" t="s">
        <v>104</v>
      </c>
    </row>
    <row r="5" spans="1:7" x14ac:dyDescent="0.3">
      <c r="A5" s="2" t="s">
        <v>99</v>
      </c>
    </row>
    <row r="7" spans="1:7" x14ac:dyDescent="0.3">
      <c r="A7" s="4" t="s">
        <v>100</v>
      </c>
      <c r="B7" s="4"/>
      <c r="C7" s="4" t="s">
        <v>101</v>
      </c>
      <c r="D7" s="4"/>
      <c r="E7" s="4" t="s">
        <v>102</v>
      </c>
      <c r="F7" s="4"/>
      <c r="G7" s="4" t="s">
        <v>103</v>
      </c>
    </row>
    <row r="8" spans="1:7" x14ac:dyDescent="0.3">
      <c r="A8" s="2">
        <v>30</v>
      </c>
      <c r="C8" s="7">
        <v>7110000</v>
      </c>
      <c r="E8" s="2">
        <v>25</v>
      </c>
      <c r="G8" s="2">
        <v>2</v>
      </c>
    </row>
    <row r="11" spans="1:7" x14ac:dyDescent="0.3">
      <c r="A11" s="2" t="s">
        <v>106</v>
      </c>
      <c r="E11" s="2" t="s">
        <v>105</v>
      </c>
    </row>
    <row r="12" spans="1:7" ht="14.5" x14ac:dyDescent="0.35">
      <c r="A12" t="s">
        <v>92</v>
      </c>
      <c r="B12" t="s">
        <v>94</v>
      </c>
      <c r="E12" t="s">
        <v>92</v>
      </c>
      <c r="F12" t="s">
        <v>94</v>
      </c>
    </row>
    <row r="13" spans="1:7" ht="14.5" x14ac:dyDescent="0.35">
      <c r="A13" t="s">
        <v>20</v>
      </c>
      <c r="B13" s="9">
        <v>1375000</v>
      </c>
      <c r="E13" t="s">
        <v>16</v>
      </c>
      <c r="F13" s="9">
        <v>1530000</v>
      </c>
    </row>
    <row r="14" spans="1:7" ht="14.5" x14ac:dyDescent="0.35">
      <c r="A14" t="s">
        <v>15</v>
      </c>
      <c r="B14" s="9">
        <v>1840000</v>
      </c>
      <c r="E14" t="s">
        <v>28</v>
      </c>
      <c r="F14" s="9">
        <v>665000</v>
      </c>
    </row>
    <row r="15" spans="1:7" ht="14.5" x14ac:dyDescent="0.35">
      <c r="A15" t="s">
        <v>3</v>
      </c>
      <c r="B15" s="9">
        <v>2150000</v>
      </c>
      <c r="E15" t="s">
        <v>21</v>
      </c>
      <c r="F15" s="9">
        <v>1415000</v>
      </c>
    </row>
    <row r="16" spans="1:7" ht="14.5" x14ac:dyDescent="0.35">
      <c r="A16" t="s">
        <v>10</v>
      </c>
      <c r="B16" s="9">
        <v>1745000</v>
      </c>
      <c r="E16" t="s">
        <v>11</v>
      </c>
      <c r="F16" s="9">
        <v>1680000</v>
      </c>
    </row>
    <row r="17" spans="1:6" ht="14.5" x14ac:dyDescent="0.35">
      <c r="A17" t="s">
        <v>93</v>
      </c>
      <c r="B17" s="9">
        <v>7110000</v>
      </c>
      <c r="E17" t="s">
        <v>4</v>
      </c>
      <c r="F17" s="9">
        <v>1820000</v>
      </c>
    </row>
    <row r="18" spans="1:6" ht="14.5" x14ac:dyDescent="0.35">
      <c r="E18" t="s">
        <v>93</v>
      </c>
      <c r="F18" s="9">
        <v>7110000</v>
      </c>
    </row>
    <row r="20" spans="1:6" x14ac:dyDescent="0.3">
      <c r="A20" s="2" t="s">
        <v>107</v>
      </c>
    </row>
    <row r="21" spans="1:6" x14ac:dyDescent="0.3">
      <c r="A21" s="2" t="s">
        <v>111</v>
      </c>
    </row>
    <row r="22" spans="1:6" x14ac:dyDescent="0.3">
      <c r="A22" s="2" t="s">
        <v>112</v>
      </c>
    </row>
    <row r="23" spans="1:6" x14ac:dyDescent="0.3">
      <c r="A23" s="2" t="s">
        <v>113</v>
      </c>
    </row>
    <row r="24" spans="1:6" x14ac:dyDescent="0.3">
      <c r="A24" s="2" t="s">
        <v>114</v>
      </c>
    </row>
    <row r="27" spans="1:6" x14ac:dyDescent="0.3">
      <c r="A27" s="2" t="s">
        <v>108</v>
      </c>
    </row>
    <row r="28" spans="1:6" x14ac:dyDescent="0.3">
      <c r="A28" s="2" t="s">
        <v>109</v>
      </c>
    </row>
    <row r="29" spans="1:6" x14ac:dyDescent="0.3">
      <c r="A29" s="2" t="s">
        <v>110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Cleaned Data</vt:lpstr>
      <vt:lpstr>Pivot Summary</vt:lpstr>
      <vt:lpstr>Summary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AZZAHRA NUR FITRIANI</dc:creator>
  <cp:lastModifiedBy>AZZAHRA NUR FITRIANI</cp:lastModifiedBy>
  <dcterms:created xsi:type="dcterms:W3CDTF">2026-09-20T07:07:49Z</dcterms:created>
  <dcterms:modified xsi:type="dcterms:W3CDTF">2026-09-20T08:01:03Z</dcterms:modified>
</cp:coreProperties>
</file>